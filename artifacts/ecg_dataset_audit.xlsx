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S1_PATIENT_LABEL_COUNTS" sheetId="2" state="visible" r:id="rId2"/>
    <sheet xmlns:r="http://schemas.openxmlformats.org/officeDocument/2006/relationships" name="DS2_PATIENT_LABEL_COUNTS" sheetId="3" state="visible" r:id="rId3"/>
    <sheet xmlns:r="http://schemas.openxmlformats.org/officeDocument/2006/relationships" name="DATASET_SUMMARY" sheetId="4" state="visible" r:id="rId4"/>
    <sheet xmlns:r="http://schemas.openxmlformats.org/officeDocument/2006/relationships" name="DS1_FOLD_DISTRIBUTION" sheetId="5" state="visible" r:id="rId5"/>
    <sheet xmlns:r="http://schemas.openxmlformats.org/officeDocument/2006/relationships" name="PATIENT_MINORITY_SUMMARY" sheetId="6" state="visible" r:id="rId6"/>
    <sheet xmlns:r="http://schemas.openxmlformats.org/officeDocument/2006/relationships" name="LABEL_DISTRIBUTION" sheetId="7" state="visible" r:id="rId7"/>
    <sheet xmlns:r="http://schemas.openxmlformats.org/officeDocument/2006/relationships" name="AUDIT_CHECKS" sheetId="8" state="visible" r:id="rId8"/>
  </sheets>
  <definedNames>
    <definedName name="_xlnm._FilterDatabase" localSheetId="1" hidden="1">'DS1_PATIENT_LABEL_COUNTS'!$A$1:$L$23</definedName>
    <definedName name="_xlnm._FilterDatabase" localSheetId="2" hidden="1">'DS2_PATIENT_LABEL_COUNTS'!$A$1:$L$23</definedName>
    <definedName name="_xlnm._FilterDatabase" localSheetId="5" hidden="1">'PATIENT_MINORITY_SUMMARY'!$A$1:$G$45</definedName>
    <definedName name="_xlnm._FilterDatabase" localSheetId="7" hidden="1">'AUDIT_CHECKS'!$A$1:$F$18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006100"/>
      <sz val="11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/>
    </xf>
    <xf numFmtId="3" fontId="4" fillId="4" borderId="2" applyAlignment="1" pivotButton="0" quotePrefix="0" xfId="0">
      <alignment horizontal="left" vertical="center"/>
    </xf>
    <xf numFmtId="10" fontId="4" fillId="4" borderId="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right" vertical="center"/>
    </xf>
    <xf numFmtId="10" fontId="0" fillId="0" borderId="0" applyAlignment="1" pivotButton="0" quotePrefix="0" xfId="0">
      <alignment horizontal="right" vertical="center"/>
    </xf>
    <xf numFmtId="10" fontId="3" fillId="0" borderId="0" applyAlignment="1" pivotButton="0" quotePrefix="0" xfId="0">
      <alignment horizontal="right" vertical="center"/>
    </xf>
    <xf numFmtId="3" fontId="0" fillId="0" borderId="0" pivotButton="0" quotePrefix="0" xfId="0"/>
    <xf numFmtId="2" fontId="3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3" fontId="3" fillId="0" borderId="0" pivotButton="0" quotePrefix="0" xfId="0"/>
    <xf numFmtId="10" fontId="0" fillId="0" borderId="0" pivotButton="0" quotePrefix="0" xfId="0"/>
    <xf numFmtId="10" fontId="3" fillId="0" borderId="0" pivotButton="0" quotePrefix="0" xfId="0"/>
    <xf numFmtId="0" fontId="6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MIT-BIH AAMI Beat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'LABEL_DISTRIBUTION'!F2</f>
            </strRef>
          </tx>
          <spPr>
            <a:ln xmlns:a="http://schemas.openxmlformats.org/drawingml/2006/main">
              <a:prstDash val="solid"/>
            </a:ln>
          </spPr>
          <cat>
            <numRef>
              <f>'LABEL_DISTRIBUTION'!$A$3:$A$7</f>
            </numRef>
          </cat>
          <val>
            <numRef>
              <f>'LABEL_DISTRIBUTION'!$F$3:$F$7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AAMI 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Beats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1" workbookViewId="0">
      <selection activeCell="A1" sqref="A1"/>
    </sheetView>
  </sheetViews>
  <sheetFormatPr baseColWidth="8" defaultRowHeight="15"/>
  <cols>
    <col width="222" customWidth="1" min="1" max="1"/>
    <col width="162" customWidth="1" min="2" max="2"/>
  </cols>
  <sheetData>
    <row r="1">
      <c r="A1" s="1" t="inlineStr">
        <is>
          <t>MIT-BIH Arrhythmia Database AAMI ECG Classification Dataset Audit</t>
        </is>
      </c>
    </row>
    <row r="2">
      <c r="A2" s="2" t="inlineStr">
        <is>
          <t>Scientifically Traceable Patient-Level and Dataset-Level Beat Audit Workbook</t>
        </is>
      </c>
    </row>
    <row r="3"/>
    <row r="4">
      <c r="A4" s="3" t="inlineStr">
        <is>
          <t>Audit Metadata &amp; Provenance</t>
        </is>
      </c>
    </row>
    <row r="5">
      <c r="A5" s="4" t="inlineStr">
        <is>
          <t>Project Title</t>
        </is>
      </c>
      <c r="B5" s="5" t="inlineStr">
        <is>
          <t>MIT-BIH Arrhythmia Database AAMI ECG Classification</t>
        </is>
      </c>
    </row>
    <row r="6">
      <c r="A6" s="4" t="inlineStr">
        <is>
          <t>Purpose</t>
        </is>
      </c>
      <c r="B6" s="5" t="inlineStr">
        <is>
          <t>Complete patient-level and dataset-level label distribution audit</t>
        </is>
      </c>
    </row>
    <row r="7">
      <c r="A7" s="4" t="inlineStr">
        <is>
          <t>Database Name</t>
        </is>
      </c>
      <c r="B7" s="5" t="inlineStr">
        <is>
          <t>mitdb</t>
        </is>
      </c>
    </row>
    <row r="8">
      <c r="A8" s="4" t="inlineStr">
        <is>
          <t>Dataset Path Used</t>
        </is>
      </c>
      <c r="B8" s="5" t="inlineStr">
        <is>
          <t>/Users/anshutiwari123/Library/Mobile Documents/com~apple~CloudDocs/resercharrhythmia/data/raw</t>
        </is>
      </c>
    </row>
    <row r="9">
      <c r="A9" s="4" t="inlineStr">
        <is>
          <t>Audit Date / Timestamp</t>
        </is>
      </c>
      <c r="B9" s="5" t="inlineStr">
        <is>
          <t>2026-09-24 13:43:35</t>
        </is>
      </c>
    </row>
    <row r="10">
      <c r="A10" s="4" t="inlineStr">
        <is>
          <t>Git Commit Hash</t>
        </is>
      </c>
      <c r="B10" s="5" t="inlineStr">
        <is>
          <t>230d6c87327fe791a751fa52588c6e2ec30fffee</t>
        </is>
      </c>
    </row>
    <row r="11">
      <c r="A11" s="4" t="inlineStr">
        <is>
          <t>Code Script Used</t>
        </is>
      </c>
      <c r="B11" s="5" t="inlineStr">
        <is>
          <t>scratch/generate_excel_audit.py</t>
        </is>
      </c>
    </row>
    <row r="12">
      <c r="A12" s="4" t="inlineStr">
        <is>
          <t>Python Version</t>
        </is>
      </c>
      <c r="B12" s="5" t="inlineStr">
        <is>
          <t>3.13.3</t>
        </is>
      </c>
    </row>
    <row r="13">
      <c r="A13" s="4" t="inlineStr">
        <is>
          <t>WFDB Version</t>
        </is>
      </c>
      <c r="B13" s="5" t="inlineStr">
        <is>
          <t>4.3.1</t>
        </is>
      </c>
    </row>
    <row r="14">
      <c r="A14" s="4" t="inlineStr">
        <is>
          <t>NumPy Version</t>
        </is>
      </c>
      <c r="B14" s="5" t="inlineStr">
        <is>
          <t>2.2.6</t>
        </is>
      </c>
    </row>
    <row r="15">
      <c r="A15" s="4" t="inlineStr">
        <is>
          <t>PyYAML Version</t>
        </is>
      </c>
      <c r="B15" s="5" t="inlineStr">
        <is>
          <t>6.0.2</t>
        </is>
      </c>
    </row>
    <row r="16">
      <c r="A16" s="4" t="inlineStr">
        <is>
          <t>OpenPyXL Version</t>
        </is>
      </c>
      <c r="B16" s="5" t="inlineStr">
        <is>
          <t>3.1.5</t>
        </is>
      </c>
    </row>
    <row r="17">
      <c r="A17" s="4" t="inlineStr">
        <is>
          <t>DS1 Patients (22 Records)</t>
        </is>
      </c>
      <c r="B17" s="5" t="inlineStr">
        <is>
          <t>101, 106, 108, 109, 112, 114, 115, 116, 118, 119, 122, 124, 201, 203, 205, 207, 208, 209, 215, 220, 223, 230</t>
        </is>
      </c>
    </row>
    <row r="18">
      <c r="A18" s="4" t="inlineStr">
        <is>
          <t>DS2 Patients (22 Records)</t>
        </is>
      </c>
      <c r="B18" s="5" t="inlineStr">
        <is>
          <t>100, 103, 105, 111, 113, 117, 121, 123, 200, 202, 210, 212, 213, 214, 219, 221, 222, 228, 231, 232, 233, 234</t>
        </is>
      </c>
    </row>
    <row r="19">
      <c r="A19" s="4" t="inlineStr">
        <is>
          <t>AAMI Classes</t>
        </is>
      </c>
      <c r="B19" s="5" t="inlineStr">
        <is>
          <t>N (0), SVEB/A (1), VEB/PVC (2), F/VT (3), Q (4)</t>
        </is>
      </c>
    </row>
    <row r="20">
      <c r="A20" s="4" t="inlineStr">
        <is>
          <t>Label Mapping Source</t>
        </is>
      </c>
      <c r="B20" s="5" t="inlineStr">
        <is>
          <t>src/data/beat_extractor.py (AAMI_MAPPING standard)</t>
        </is>
      </c>
    </row>
    <row r="21">
      <c r="A21" s="4" t="inlineStr">
        <is>
          <t>Beat Filtering &amp; Signal Convention</t>
        </is>
      </c>
      <c r="B21" s="5" t="inlineStr">
        <is>
          <t>Bandpass Filter 0.5-50Hz, Resample 360Hz -&gt; 128Hz, 256-sample window R-peak centered, valid AAMI symbol filtering</t>
        </is>
      </c>
    </row>
    <row r="22">
      <c r="A22" s="4" t="inlineStr">
        <is>
          <t>Validated 5-Fold Partition</t>
        </is>
      </c>
      <c r="B22" s="5" t="inlineStr">
        <is>
          <t>Fold 1: [115, 119, 122, 207, 230], Fold 2: [101, 112, 118, 208, 220], Fold 3: [114, 124, 205, 223], Fold 4: [108, 109, 201, 215], Fold 5: [106, 116, 203, 209]</t>
        </is>
      </c>
    </row>
    <row r="23"/>
    <row r="24">
      <c r="A24" s="6" t="inlineStr">
        <is>
          <t>Scientific Traceability Declaration:</t>
        </is>
      </c>
    </row>
    <row r="25">
      <c r="A25" s="7" t="inlineStr">
        <is>
          <t>All counts in this workbook are computed directly from the project dataset using the project's existing validated annotation/label convention. Previous experiment summaries are not used as the primary source of 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7" customWidth="1" min="7" max="7"/>
    <col width="13" customWidth="1" min="8" max="8"/>
    <col width="18" customWidth="1" min="9" max="9"/>
    <col width="19" customWidth="1" min="10" max="10"/>
    <col width="16" customWidth="1" min="11" max="11"/>
    <col width="13" customWidth="1" min="12" max="12"/>
  </cols>
  <sheetData>
    <row r="1">
      <c r="A1" s="8" t="inlineStr">
        <is>
          <t>Record</t>
        </is>
      </c>
      <c r="B1" s="8" t="inlineStr">
        <is>
          <t>N</t>
        </is>
      </c>
      <c r="C1" s="8" t="inlineStr">
        <is>
          <t>SVEB_A</t>
        </is>
      </c>
      <c r="D1" s="8" t="inlineStr">
        <is>
          <t>VEB_PVC</t>
        </is>
      </c>
      <c r="E1" s="8" t="inlineStr">
        <is>
          <t>F_VT</t>
        </is>
      </c>
      <c r="F1" s="8" t="inlineStr">
        <is>
          <t>Q</t>
        </is>
      </c>
      <c r="G1" s="8" t="inlineStr">
        <is>
          <t>Total_Beats</t>
        </is>
      </c>
      <c r="H1" s="8" t="inlineStr">
        <is>
          <t>N_Percent</t>
        </is>
      </c>
      <c r="I1" s="8" t="inlineStr">
        <is>
          <t>SVEB_A_Percent</t>
        </is>
      </c>
      <c r="J1" s="8" t="inlineStr">
        <is>
          <t>VEB_PVC_Percent</t>
        </is>
      </c>
      <c r="K1" s="8" t="inlineStr">
        <is>
          <t>F_VT_Percent</t>
        </is>
      </c>
      <c r="L1" s="8" t="inlineStr">
        <is>
          <t>Q_Percent</t>
        </is>
      </c>
    </row>
    <row r="2">
      <c r="A2" s="9" t="inlineStr">
        <is>
          <t>101</t>
        </is>
      </c>
      <c r="B2" s="10" t="n">
        <v>1858</v>
      </c>
      <c r="C2" s="10" t="n">
        <v>3</v>
      </c>
      <c r="D2" s="10" t="n">
        <v>0</v>
      </c>
      <c r="E2" s="10" t="n">
        <v>0</v>
      </c>
      <c r="F2" s="10" t="n">
        <v>2</v>
      </c>
      <c r="G2" s="11">
        <f>SUM(B2:F2)</f>
        <v/>
      </c>
      <c r="H2" s="12">
        <f>B2/G2</f>
        <v/>
      </c>
      <c r="I2" s="12">
        <f>C2/G2</f>
        <v/>
      </c>
      <c r="J2" s="12">
        <f>D2/G2</f>
        <v/>
      </c>
      <c r="K2" s="12">
        <f>E2/G2</f>
        <v/>
      </c>
      <c r="L2" s="12">
        <f>F2/G2</f>
        <v/>
      </c>
    </row>
    <row r="3">
      <c r="A3" s="9" t="inlineStr">
        <is>
          <t>106</t>
        </is>
      </c>
      <c r="B3" s="10" t="n">
        <v>1505</v>
      </c>
      <c r="C3" s="10" t="n">
        <v>0</v>
      </c>
      <c r="D3" s="10" t="n">
        <v>520</v>
      </c>
      <c r="E3" s="10" t="n">
        <v>0</v>
      </c>
      <c r="F3" s="10" t="n">
        <v>0</v>
      </c>
      <c r="G3" s="11">
        <f>SUM(B3:F3)</f>
        <v/>
      </c>
      <c r="H3" s="12">
        <f>B3/G3</f>
        <v/>
      </c>
      <c r="I3" s="12">
        <f>C3/G3</f>
        <v/>
      </c>
      <c r="J3" s="12">
        <f>D3/G3</f>
        <v/>
      </c>
      <c r="K3" s="12">
        <f>E3/G3</f>
        <v/>
      </c>
      <c r="L3" s="12">
        <f>F3/G3</f>
        <v/>
      </c>
    </row>
    <row r="4">
      <c r="A4" s="9" t="inlineStr">
        <is>
          <t>108</t>
        </is>
      </c>
      <c r="B4" s="10" t="n">
        <v>1738</v>
      </c>
      <c r="C4" s="10" t="n">
        <v>4</v>
      </c>
      <c r="D4" s="10" t="n">
        <v>17</v>
      </c>
      <c r="E4" s="10" t="n">
        <v>2</v>
      </c>
      <c r="F4" s="10" t="n">
        <v>0</v>
      </c>
      <c r="G4" s="11">
        <f>SUM(B4:F4)</f>
        <v/>
      </c>
      <c r="H4" s="12">
        <f>B4/G4</f>
        <v/>
      </c>
      <c r="I4" s="12">
        <f>C4/G4</f>
        <v/>
      </c>
      <c r="J4" s="12">
        <f>D4/G4</f>
        <v/>
      </c>
      <c r="K4" s="12">
        <f>E4/G4</f>
        <v/>
      </c>
      <c r="L4" s="12">
        <f>F4/G4</f>
        <v/>
      </c>
    </row>
    <row r="5">
      <c r="A5" s="9" t="inlineStr">
        <is>
          <t>109</t>
        </is>
      </c>
      <c r="B5" s="10" t="n">
        <v>2488</v>
      </c>
      <c r="C5" s="10" t="n">
        <v>0</v>
      </c>
      <c r="D5" s="10" t="n">
        <v>38</v>
      </c>
      <c r="E5" s="10" t="n">
        <v>2</v>
      </c>
      <c r="F5" s="10" t="n">
        <v>0</v>
      </c>
      <c r="G5" s="11">
        <f>SUM(B5:F5)</f>
        <v/>
      </c>
      <c r="H5" s="12">
        <f>B5/G5</f>
        <v/>
      </c>
      <c r="I5" s="12">
        <f>C5/G5</f>
        <v/>
      </c>
      <c r="J5" s="12">
        <f>D5/G5</f>
        <v/>
      </c>
      <c r="K5" s="12">
        <f>E5/G5</f>
        <v/>
      </c>
      <c r="L5" s="12">
        <f>F5/G5</f>
        <v/>
      </c>
    </row>
    <row r="6">
      <c r="A6" s="9" t="inlineStr">
        <is>
          <t>112</t>
        </is>
      </c>
      <c r="B6" s="10" t="n">
        <v>2535</v>
      </c>
      <c r="C6" s="10" t="n">
        <v>2</v>
      </c>
      <c r="D6" s="10" t="n">
        <v>0</v>
      </c>
      <c r="E6" s="10" t="n">
        <v>0</v>
      </c>
      <c r="F6" s="10" t="n">
        <v>0</v>
      </c>
      <c r="G6" s="11">
        <f>SUM(B6:F6)</f>
        <v/>
      </c>
      <c r="H6" s="12">
        <f>B6/G6</f>
        <v/>
      </c>
      <c r="I6" s="12">
        <f>C6/G6</f>
        <v/>
      </c>
      <c r="J6" s="12">
        <f>D6/G6</f>
        <v/>
      </c>
      <c r="K6" s="12">
        <f>E6/G6</f>
        <v/>
      </c>
      <c r="L6" s="12">
        <f>F6/G6</f>
        <v/>
      </c>
    </row>
    <row r="7">
      <c r="A7" s="9" t="inlineStr">
        <is>
          <t>114</t>
        </is>
      </c>
      <c r="B7" s="10" t="n">
        <v>1818</v>
      </c>
      <c r="C7" s="10" t="n">
        <v>12</v>
      </c>
      <c r="D7" s="10" t="n">
        <v>43</v>
      </c>
      <c r="E7" s="10" t="n">
        <v>4</v>
      </c>
      <c r="F7" s="10" t="n">
        <v>0</v>
      </c>
      <c r="G7" s="11">
        <f>SUM(B7:F7)</f>
        <v/>
      </c>
      <c r="H7" s="12">
        <f>B7/G7</f>
        <v/>
      </c>
      <c r="I7" s="12">
        <f>C7/G7</f>
        <v/>
      </c>
      <c r="J7" s="12">
        <f>D7/G7</f>
        <v/>
      </c>
      <c r="K7" s="12">
        <f>E7/G7</f>
        <v/>
      </c>
      <c r="L7" s="12">
        <f>F7/G7</f>
        <v/>
      </c>
    </row>
    <row r="8">
      <c r="A8" s="9" t="inlineStr">
        <is>
          <t>115</t>
        </is>
      </c>
      <c r="B8" s="10" t="n">
        <v>1950</v>
      </c>
      <c r="C8" s="10" t="n">
        <v>0</v>
      </c>
      <c r="D8" s="10" t="n">
        <v>0</v>
      </c>
      <c r="E8" s="10" t="n">
        <v>0</v>
      </c>
      <c r="F8" s="10" t="n">
        <v>0</v>
      </c>
      <c r="G8" s="11">
        <f>SUM(B8:F8)</f>
        <v/>
      </c>
      <c r="H8" s="12">
        <f>B8/G8</f>
        <v/>
      </c>
      <c r="I8" s="12">
        <f>C8/G8</f>
        <v/>
      </c>
      <c r="J8" s="12">
        <f>D8/G8</f>
        <v/>
      </c>
      <c r="K8" s="12">
        <f>E8/G8</f>
        <v/>
      </c>
      <c r="L8" s="12">
        <f>F8/G8</f>
        <v/>
      </c>
    </row>
    <row r="9">
      <c r="A9" s="9" t="inlineStr">
        <is>
          <t>116</t>
        </is>
      </c>
      <c r="B9" s="10" t="n">
        <v>2299</v>
      </c>
      <c r="C9" s="10" t="n">
        <v>1</v>
      </c>
      <c r="D9" s="10" t="n">
        <v>109</v>
      </c>
      <c r="E9" s="10" t="n">
        <v>0</v>
      </c>
      <c r="F9" s="10" t="n">
        <v>0</v>
      </c>
      <c r="G9" s="11">
        <f>SUM(B9:F9)</f>
        <v/>
      </c>
      <c r="H9" s="12">
        <f>B9/G9</f>
        <v/>
      </c>
      <c r="I9" s="12">
        <f>C9/G9</f>
        <v/>
      </c>
      <c r="J9" s="12">
        <f>D9/G9</f>
        <v/>
      </c>
      <c r="K9" s="12">
        <f>E9/G9</f>
        <v/>
      </c>
      <c r="L9" s="12">
        <f>F9/G9</f>
        <v/>
      </c>
    </row>
    <row r="10">
      <c r="A10" s="9" t="inlineStr">
        <is>
          <t>118</t>
        </is>
      </c>
      <c r="B10" s="10" t="n">
        <v>2164</v>
      </c>
      <c r="C10" s="10" t="n">
        <v>96</v>
      </c>
      <c r="D10" s="10" t="n">
        <v>16</v>
      </c>
      <c r="E10" s="10" t="n">
        <v>0</v>
      </c>
      <c r="F10" s="10" t="n">
        <v>0</v>
      </c>
      <c r="G10" s="11">
        <f>SUM(B10:F10)</f>
        <v/>
      </c>
      <c r="H10" s="12">
        <f>B10/G10</f>
        <v/>
      </c>
      <c r="I10" s="12">
        <f>C10/G10</f>
        <v/>
      </c>
      <c r="J10" s="12">
        <f>D10/G10</f>
        <v/>
      </c>
      <c r="K10" s="12">
        <f>E10/G10</f>
        <v/>
      </c>
      <c r="L10" s="12">
        <f>F10/G10</f>
        <v/>
      </c>
    </row>
    <row r="11">
      <c r="A11" s="9" t="inlineStr">
        <is>
          <t>119</t>
        </is>
      </c>
      <c r="B11" s="10" t="n">
        <v>1541</v>
      </c>
      <c r="C11" s="10" t="n">
        <v>0</v>
      </c>
      <c r="D11" s="10" t="n">
        <v>444</v>
      </c>
      <c r="E11" s="10" t="n">
        <v>0</v>
      </c>
      <c r="F11" s="10" t="n">
        <v>0</v>
      </c>
      <c r="G11" s="11">
        <f>SUM(B11:F11)</f>
        <v/>
      </c>
      <c r="H11" s="12">
        <f>B11/G11</f>
        <v/>
      </c>
      <c r="I11" s="12">
        <f>C11/G11</f>
        <v/>
      </c>
      <c r="J11" s="12">
        <f>D11/G11</f>
        <v/>
      </c>
      <c r="K11" s="12">
        <f>E11/G11</f>
        <v/>
      </c>
      <c r="L11" s="12">
        <f>F11/G11</f>
        <v/>
      </c>
    </row>
    <row r="12">
      <c r="A12" s="9" t="inlineStr">
        <is>
          <t>122</t>
        </is>
      </c>
      <c r="B12" s="10" t="n">
        <v>2472</v>
      </c>
      <c r="C12" s="10" t="n">
        <v>0</v>
      </c>
      <c r="D12" s="10" t="n">
        <v>0</v>
      </c>
      <c r="E12" s="10" t="n">
        <v>0</v>
      </c>
      <c r="F12" s="10" t="n">
        <v>0</v>
      </c>
      <c r="G12" s="11">
        <f>SUM(B12:F12)</f>
        <v/>
      </c>
      <c r="H12" s="12">
        <f>B12/G12</f>
        <v/>
      </c>
      <c r="I12" s="12">
        <f>C12/G12</f>
        <v/>
      </c>
      <c r="J12" s="12">
        <f>D12/G12</f>
        <v/>
      </c>
      <c r="K12" s="12">
        <f>E12/G12</f>
        <v/>
      </c>
      <c r="L12" s="12">
        <f>F12/G12</f>
        <v/>
      </c>
    </row>
    <row r="13">
      <c r="A13" s="9" t="inlineStr">
        <is>
          <t>124</t>
        </is>
      </c>
      <c r="B13" s="10" t="n">
        <v>1534</v>
      </c>
      <c r="C13" s="10" t="n">
        <v>31</v>
      </c>
      <c r="D13" s="10" t="n">
        <v>47</v>
      </c>
      <c r="E13" s="10" t="n">
        <v>5</v>
      </c>
      <c r="F13" s="10" t="n">
        <v>0</v>
      </c>
      <c r="G13" s="11">
        <f>SUM(B13:F13)</f>
        <v/>
      </c>
      <c r="H13" s="12">
        <f>B13/G13</f>
        <v/>
      </c>
      <c r="I13" s="12">
        <f>C13/G13</f>
        <v/>
      </c>
      <c r="J13" s="12">
        <f>D13/G13</f>
        <v/>
      </c>
      <c r="K13" s="12">
        <f>E13/G13</f>
        <v/>
      </c>
      <c r="L13" s="12">
        <f>F13/G13</f>
        <v/>
      </c>
    </row>
    <row r="14">
      <c r="A14" s="9" t="inlineStr">
        <is>
          <t>201</t>
        </is>
      </c>
      <c r="B14" s="10" t="n">
        <v>1633</v>
      </c>
      <c r="C14" s="10" t="n">
        <v>128</v>
      </c>
      <c r="D14" s="10" t="n">
        <v>198</v>
      </c>
      <c r="E14" s="10" t="n">
        <v>2</v>
      </c>
      <c r="F14" s="10" t="n">
        <v>0</v>
      </c>
      <c r="G14" s="11">
        <f>SUM(B14:F14)</f>
        <v/>
      </c>
      <c r="H14" s="12">
        <f>B14/G14</f>
        <v/>
      </c>
      <c r="I14" s="12">
        <f>C14/G14</f>
        <v/>
      </c>
      <c r="J14" s="12">
        <f>D14/G14</f>
        <v/>
      </c>
      <c r="K14" s="12">
        <f>E14/G14</f>
        <v/>
      </c>
      <c r="L14" s="12">
        <f>F14/G14</f>
        <v/>
      </c>
    </row>
    <row r="15">
      <c r="A15" s="9" t="inlineStr">
        <is>
          <t>203</t>
        </is>
      </c>
      <c r="B15" s="10" t="n">
        <v>2527</v>
      </c>
      <c r="C15" s="10" t="n">
        <v>2</v>
      </c>
      <c r="D15" s="10" t="n">
        <v>444</v>
      </c>
      <c r="E15" s="10" t="n">
        <v>1</v>
      </c>
      <c r="F15" s="10" t="n">
        <v>4</v>
      </c>
      <c r="G15" s="11">
        <f>SUM(B15:F15)</f>
        <v/>
      </c>
      <c r="H15" s="12">
        <f>B15/G15</f>
        <v/>
      </c>
      <c r="I15" s="12">
        <f>C15/G15</f>
        <v/>
      </c>
      <c r="J15" s="12">
        <f>D15/G15</f>
        <v/>
      </c>
      <c r="K15" s="12">
        <f>E15/G15</f>
        <v/>
      </c>
      <c r="L15" s="12">
        <f>F15/G15</f>
        <v/>
      </c>
    </row>
    <row r="16">
      <c r="A16" s="9" t="inlineStr">
        <is>
          <t>205</t>
        </is>
      </c>
      <c r="B16" s="10" t="n">
        <v>2569</v>
      </c>
      <c r="C16" s="10" t="n">
        <v>3</v>
      </c>
      <c r="D16" s="10" t="n">
        <v>71</v>
      </c>
      <c r="E16" s="10" t="n">
        <v>11</v>
      </c>
      <c r="F16" s="10" t="n">
        <v>0</v>
      </c>
      <c r="G16" s="11">
        <f>SUM(B16:F16)</f>
        <v/>
      </c>
      <c r="H16" s="12">
        <f>B16/G16</f>
        <v/>
      </c>
      <c r="I16" s="12">
        <f>C16/G16</f>
        <v/>
      </c>
      <c r="J16" s="12">
        <f>D16/G16</f>
        <v/>
      </c>
      <c r="K16" s="12">
        <f>E16/G16</f>
        <v/>
      </c>
      <c r="L16" s="12">
        <f>F16/G16</f>
        <v/>
      </c>
    </row>
    <row r="17">
      <c r="A17" s="9" t="inlineStr">
        <is>
          <t>207</t>
        </is>
      </c>
      <c r="B17" s="10" t="n">
        <v>1542</v>
      </c>
      <c r="C17" s="10" t="n">
        <v>106</v>
      </c>
      <c r="D17" s="10" t="n">
        <v>209</v>
      </c>
      <c r="E17" s="10" t="n">
        <v>484</v>
      </c>
      <c r="F17" s="10" t="n">
        <v>0</v>
      </c>
      <c r="G17" s="11">
        <f>SUM(B17:F17)</f>
        <v/>
      </c>
      <c r="H17" s="12">
        <f>B17/G17</f>
        <v/>
      </c>
      <c r="I17" s="12">
        <f>C17/G17</f>
        <v/>
      </c>
      <c r="J17" s="12">
        <f>D17/G17</f>
        <v/>
      </c>
      <c r="K17" s="12">
        <f>E17/G17</f>
        <v/>
      </c>
      <c r="L17" s="12">
        <f>F17/G17</f>
        <v/>
      </c>
    </row>
    <row r="18">
      <c r="A18" s="9" t="inlineStr">
        <is>
          <t>208</t>
        </is>
      </c>
      <c r="B18" s="10" t="n">
        <v>1584</v>
      </c>
      <c r="C18" s="10" t="n">
        <v>2</v>
      </c>
      <c r="D18" s="10" t="n">
        <v>991</v>
      </c>
      <c r="E18" s="10" t="n">
        <v>372</v>
      </c>
      <c r="F18" s="10" t="n">
        <v>2</v>
      </c>
      <c r="G18" s="11">
        <f>SUM(B18:F18)</f>
        <v/>
      </c>
      <c r="H18" s="12">
        <f>B18/G18</f>
        <v/>
      </c>
      <c r="I18" s="12">
        <f>C18/G18</f>
        <v/>
      </c>
      <c r="J18" s="12">
        <f>D18/G18</f>
        <v/>
      </c>
      <c r="K18" s="12">
        <f>E18/G18</f>
        <v/>
      </c>
      <c r="L18" s="12">
        <f>F18/G18</f>
        <v/>
      </c>
    </row>
    <row r="19">
      <c r="A19" s="9" t="inlineStr">
        <is>
          <t>209</t>
        </is>
      </c>
      <c r="B19" s="10" t="n">
        <v>2619</v>
      </c>
      <c r="C19" s="10" t="n">
        <v>383</v>
      </c>
      <c r="D19" s="10" t="n">
        <v>1</v>
      </c>
      <c r="E19" s="10" t="n">
        <v>0</v>
      </c>
      <c r="F19" s="10" t="n">
        <v>0</v>
      </c>
      <c r="G19" s="11">
        <f>SUM(B19:F19)</f>
        <v/>
      </c>
      <c r="H19" s="12">
        <f>B19/G19</f>
        <v/>
      </c>
      <c r="I19" s="12">
        <f>C19/G19</f>
        <v/>
      </c>
      <c r="J19" s="12">
        <f>D19/G19</f>
        <v/>
      </c>
      <c r="K19" s="12">
        <f>E19/G19</f>
        <v/>
      </c>
      <c r="L19" s="12">
        <f>F19/G19</f>
        <v/>
      </c>
    </row>
    <row r="20">
      <c r="A20" s="9" t="inlineStr">
        <is>
          <t>215</t>
        </is>
      </c>
      <c r="B20" s="10" t="n">
        <v>3191</v>
      </c>
      <c r="C20" s="10" t="n">
        <v>3</v>
      </c>
      <c r="D20" s="10" t="n">
        <v>164</v>
      </c>
      <c r="E20" s="10" t="n">
        <v>1</v>
      </c>
      <c r="F20" s="10" t="n">
        <v>0</v>
      </c>
      <c r="G20" s="11">
        <f>SUM(B20:F20)</f>
        <v/>
      </c>
      <c r="H20" s="12">
        <f>B20/G20</f>
        <v/>
      </c>
      <c r="I20" s="12">
        <f>C20/G20</f>
        <v/>
      </c>
      <c r="J20" s="12">
        <f>D20/G20</f>
        <v/>
      </c>
      <c r="K20" s="12">
        <f>E20/G20</f>
        <v/>
      </c>
      <c r="L20" s="12">
        <f>F20/G20</f>
        <v/>
      </c>
    </row>
    <row r="21">
      <c r="A21" s="9" t="inlineStr">
        <is>
          <t>220</t>
        </is>
      </c>
      <c r="B21" s="10" t="n">
        <v>1951</v>
      </c>
      <c r="C21" s="10" t="n">
        <v>94</v>
      </c>
      <c r="D21" s="10" t="n">
        <v>0</v>
      </c>
      <c r="E21" s="10" t="n">
        <v>0</v>
      </c>
      <c r="F21" s="10" t="n">
        <v>0</v>
      </c>
      <c r="G21" s="11">
        <f>SUM(B21:F21)</f>
        <v/>
      </c>
      <c r="H21" s="12">
        <f>B21/G21</f>
        <v/>
      </c>
      <c r="I21" s="12">
        <f>C21/G21</f>
        <v/>
      </c>
      <c r="J21" s="12">
        <f>D21/G21</f>
        <v/>
      </c>
      <c r="K21" s="12">
        <f>E21/G21</f>
        <v/>
      </c>
      <c r="L21" s="12">
        <f>F21/G21</f>
        <v/>
      </c>
    </row>
    <row r="22">
      <c r="A22" s="9" t="inlineStr">
        <is>
          <t>223</t>
        </is>
      </c>
      <c r="B22" s="10" t="n">
        <v>2043</v>
      </c>
      <c r="C22" s="10" t="n">
        <v>73</v>
      </c>
      <c r="D22" s="10" t="n">
        <v>473</v>
      </c>
      <c r="E22" s="10" t="n">
        <v>14</v>
      </c>
      <c r="F22" s="10" t="n">
        <v>0</v>
      </c>
      <c r="G22" s="11">
        <f>SUM(B22:F22)</f>
        <v/>
      </c>
      <c r="H22" s="12">
        <f>B22/G22</f>
        <v/>
      </c>
      <c r="I22" s="12">
        <f>C22/G22</f>
        <v/>
      </c>
      <c r="J22" s="12">
        <f>D22/G22</f>
        <v/>
      </c>
      <c r="K22" s="12">
        <f>E22/G22</f>
        <v/>
      </c>
      <c r="L22" s="12">
        <f>F22/G22</f>
        <v/>
      </c>
    </row>
    <row r="23">
      <c r="A23" s="9" t="inlineStr">
        <is>
          <t>230</t>
        </is>
      </c>
      <c r="B23" s="10" t="n">
        <v>2252</v>
      </c>
      <c r="C23" s="10" t="n">
        <v>0</v>
      </c>
      <c r="D23" s="10" t="n">
        <v>1</v>
      </c>
      <c r="E23" s="10" t="n">
        <v>0</v>
      </c>
      <c r="F23" s="10" t="n">
        <v>0</v>
      </c>
      <c r="G23" s="11">
        <f>SUM(B23:F23)</f>
        <v/>
      </c>
      <c r="H23" s="12">
        <f>B23/G23</f>
        <v/>
      </c>
      <c r="I23" s="12">
        <f>C23/G23</f>
        <v/>
      </c>
      <c r="J23" s="12">
        <f>D23/G23</f>
        <v/>
      </c>
      <c r="K23" s="12">
        <f>E23/G23</f>
        <v/>
      </c>
      <c r="L23" s="12">
        <f>F23/G23</f>
        <v/>
      </c>
    </row>
    <row r="24">
      <c r="A24" s="13" t="inlineStr">
        <is>
          <t>DS1_TOTAL</t>
        </is>
      </c>
      <c r="B24" s="14">
        <f>SUM(B2:B23)</f>
        <v/>
      </c>
      <c r="C24" s="14">
        <f>SUM(C2:C23)</f>
        <v/>
      </c>
      <c r="D24" s="14">
        <f>SUM(D2:D23)</f>
        <v/>
      </c>
      <c r="E24" s="14">
        <f>SUM(E2:E23)</f>
        <v/>
      </c>
      <c r="F24" s="14">
        <f>SUM(F2:F23)</f>
        <v/>
      </c>
      <c r="G24" s="14">
        <f>SUM(B24:F24)</f>
        <v/>
      </c>
      <c r="H24" s="15">
        <f>B24/G24</f>
        <v/>
      </c>
      <c r="I24" s="15">
        <f>C24/G24</f>
        <v/>
      </c>
      <c r="J24" s="15">
        <f>D24/G24</f>
        <v/>
      </c>
      <c r="K24" s="15">
        <f>E24/G24</f>
        <v/>
      </c>
      <c r="L24" s="15">
        <f>F24/G24</f>
        <v/>
      </c>
    </row>
  </sheetData>
  <autoFilter ref="A1:L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7" customWidth="1" min="7" max="7"/>
    <col width="13" customWidth="1" min="8" max="8"/>
    <col width="18" customWidth="1" min="9" max="9"/>
    <col width="19" customWidth="1" min="10" max="10"/>
    <col width="16" customWidth="1" min="11" max="11"/>
    <col width="13" customWidth="1" min="12" max="12"/>
  </cols>
  <sheetData>
    <row r="1">
      <c r="A1" s="8" t="inlineStr">
        <is>
          <t>Record</t>
        </is>
      </c>
      <c r="B1" s="8" t="inlineStr">
        <is>
          <t>N</t>
        </is>
      </c>
      <c r="C1" s="8" t="inlineStr">
        <is>
          <t>SVEB_A</t>
        </is>
      </c>
      <c r="D1" s="8" t="inlineStr">
        <is>
          <t>VEB_PVC</t>
        </is>
      </c>
      <c r="E1" s="8" t="inlineStr">
        <is>
          <t>F_VT</t>
        </is>
      </c>
      <c r="F1" s="8" t="inlineStr">
        <is>
          <t>Q</t>
        </is>
      </c>
      <c r="G1" s="8" t="inlineStr">
        <is>
          <t>Total_Beats</t>
        </is>
      </c>
      <c r="H1" s="8" t="inlineStr">
        <is>
          <t>N_Percent</t>
        </is>
      </c>
      <c r="I1" s="8" t="inlineStr">
        <is>
          <t>SVEB_A_Percent</t>
        </is>
      </c>
      <c r="J1" s="8" t="inlineStr">
        <is>
          <t>VEB_PVC_Percent</t>
        </is>
      </c>
      <c r="K1" s="8" t="inlineStr">
        <is>
          <t>F_VT_Percent</t>
        </is>
      </c>
      <c r="L1" s="8" t="inlineStr">
        <is>
          <t>Q_Percent</t>
        </is>
      </c>
    </row>
    <row r="2">
      <c r="A2" s="9" t="inlineStr">
        <is>
          <t>100</t>
        </is>
      </c>
      <c r="B2" s="10" t="n">
        <v>2236</v>
      </c>
      <c r="C2" s="10" t="n">
        <v>33</v>
      </c>
      <c r="D2" s="10" t="n">
        <v>1</v>
      </c>
      <c r="E2" s="10" t="n">
        <v>0</v>
      </c>
      <c r="F2" s="10" t="n">
        <v>0</v>
      </c>
      <c r="G2" s="11">
        <f>SUM(B2:F2)</f>
        <v/>
      </c>
      <c r="H2" s="12">
        <f>B2/G2</f>
        <v/>
      </c>
      <c r="I2" s="12">
        <f>C2/G2</f>
        <v/>
      </c>
      <c r="J2" s="12">
        <f>D2/G2</f>
        <v/>
      </c>
      <c r="K2" s="12">
        <f>E2/G2</f>
        <v/>
      </c>
      <c r="L2" s="12">
        <f>F2/G2</f>
        <v/>
      </c>
    </row>
    <row r="3">
      <c r="A3" s="9" t="inlineStr">
        <is>
          <t>103</t>
        </is>
      </c>
      <c r="B3" s="10" t="n">
        <v>2080</v>
      </c>
      <c r="C3" s="10" t="n">
        <v>2</v>
      </c>
      <c r="D3" s="10" t="n">
        <v>0</v>
      </c>
      <c r="E3" s="10" t="n">
        <v>0</v>
      </c>
      <c r="F3" s="10" t="n">
        <v>0</v>
      </c>
      <c r="G3" s="11">
        <f>SUM(B3:F3)</f>
        <v/>
      </c>
      <c r="H3" s="12">
        <f>B3/G3</f>
        <v/>
      </c>
      <c r="I3" s="12">
        <f>C3/G3</f>
        <v/>
      </c>
      <c r="J3" s="12">
        <f>D3/G3</f>
        <v/>
      </c>
      <c r="K3" s="12">
        <f>E3/G3</f>
        <v/>
      </c>
      <c r="L3" s="12">
        <f>F3/G3</f>
        <v/>
      </c>
    </row>
    <row r="4">
      <c r="A4" s="9" t="inlineStr">
        <is>
          <t>105</t>
        </is>
      </c>
      <c r="B4" s="10" t="n">
        <v>2524</v>
      </c>
      <c r="C4" s="10" t="n">
        <v>0</v>
      </c>
      <c r="D4" s="10" t="n">
        <v>41</v>
      </c>
      <c r="E4" s="10" t="n">
        <v>0</v>
      </c>
      <c r="F4" s="10" t="n">
        <v>5</v>
      </c>
      <c r="G4" s="11">
        <f>SUM(B4:F4)</f>
        <v/>
      </c>
      <c r="H4" s="12">
        <f>B4/G4</f>
        <v/>
      </c>
      <c r="I4" s="12">
        <f>C4/G4</f>
        <v/>
      </c>
      <c r="J4" s="12">
        <f>D4/G4</f>
        <v/>
      </c>
      <c r="K4" s="12">
        <f>E4/G4</f>
        <v/>
      </c>
      <c r="L4" s="12">
        <f>F4/G4</f>
        <v/>
      </c>
    </row>
    <row r="5">
      <c r="A5" s="9" t="inlineStr">
        <is>
          <t>111</t>
        </is>
      </c>
      <c r="B5" s="10" t="n">
        <v>2121</v>
      </c>
      <c r="C5" s="10" t="n">
        <v>0</v>
      </c>
      <c r="D5" s="10" t="n">
        <v>1</v>
      </c>
      <c r="E5" s="10" t="n">
        <v>0</v>
      </c>
      <c r="F5" s="10" t="n">
        <v>0</v>
      </c>
      <c r="G5" s="11">
        <f>SUM(B5:F5)</f>
        <v/>
      </c>
      <c r="H5" s="12">
        <f>B5/G5</f>
        <v/>
      </c>
      <c r="I5" s="12">
        <f>C5/G5</f>
        <v/>
      </c>
      <c r="J5" s="12">
        <f>D5/G5</f>
        <v/>
      </c>
      <c r="K5" s="12">
        <f>E5/G5</f>
        <v/>
      </c>
      <c r="L5" s="12">
        <f>F5/G5</f>
        <v/>
      </c>
    </row>
    <row r="6">
      <c r="A6" s="9" t="inlineStr">
        <is>
          <t>113</t>
        </is>
      </c>
      <c r="B6" s="10" t="n">
        <v>1786</v>
      </c>
      <c r="C6" s="10" t="n">
        <v>6</v>
      </c>
      <c r="D6" s="10" t="n">
        <v>0</v>
      </c>
      <c r="E6" s="10" t="n">
        <v>0</v>
      </c>
      <c r="F6" s="10" t="n">
        <v>0</v>
      </c>
      <c r="G6" s="11">
        <f>SUM(B6:F6)</f>
        <v/>
      </c>
      <c r="H6" s="12">
        <f>B6/G6</f>
        <v/>
      </c>
      <c r="I6" s="12">
        <f>C6/G6</f>
        <v/>
      </c>
      <c r="J6" s="12">
        <f>D6/G6</f>
        <v/>
      </c>
      <c r="K6" s="12">
        <f>E6/G6</f>
        <v/>
      </c>
      <c r="L6" s="12">
        <f>F6/G6</f>
        <v/>
      </c>
    </row>
    <row r="7">
      <c r="A7" s="9" t="inlineStr">
        <is>
          <t>117</t>
        </is>
      </c>
      <c r="B7" s="10" t="n">
        <v>1532</v>
      </c>
      <c r="C7" s="10" t="n">
        <v>1</v>
      </c>
      <c r="D7" s="10" t="n">
        <v>0</v>
      </c>
      <c r="E7" s="10" t="n">
        <v>0</v>
      </c>
      <c r="F7" s="10" t="n">
        <v>0</v>
      </c>
      <c r="G7" s="11">
        <f>SUM(B7:F7)</f>
        <v/>
      </c>
      <c r="H7" s="12">
        <f>B7/G7</f>
        <v/>
      </c>
      <c r="I7" s="12">
        <f>C7/G7</f>
        <v/>
      </c>
      <c r="J7" s="12">
        <f>D7/G7</f>
        <v/>
      </c>
      <c r="K7" s="12">
        <f>E7/G7</f>
        <v/>
      </c>
      <c r="L7" s="12">
        <f>F7/G7</f>
        <v/>
      </c>
    </row>
    <row r="8">
      <c r="A8" s="9" t="inlineStr">
        <is>
          <t>121</t>
        </is>
      </c>
      <c r="B8" s="10" t="n">
        <v>1859</v>
      </c>
      <c r="C8" s="10" t="n">
        <v>1</v>
      </c>
      <c r="D8" s="10" t="n">
        <v>1</v>
      </c>
      <c r="E8" s="10" t="n">
        <v>0</v>
      </c>
      <c r="F8" s="10" t="n">
        <v>0</v>
      </c>
      <c r="G8" s="11">
        <f>SUM(B8:F8)</f>
        <v/>
      </c>
      <c r="H8" s="12">
        <f>B8/G8</f>
        <v/>
      </c>
      <c r="I8" s="12">
        <f>C8/G8</f>
        <v/>
      </c>
      <c r="J8" s="12">
        <f>D8/G8</f>
        <v/>
      </c>
      <c r="K8" s="12">
        <f>E8/G8</f>
        <v/>
      </c>
      <c r="L8" s="12">
        <f>F8/G8</f>
        <v/>
      </c>
    </row>
    <row r="9">
      <c r="A9" s="9" t="inlineStr">
        <is>
          <t>123</t>
        </is>
      </c>
      <c r="B9" s="10" t="n">
        <v>1513</v>
      </c>
      <c r="C9" s="10" t="n">
        <v>0</v>
      </c>
      <c r="D9" s="10" t="n">
        <v>3</v>
      </c>
      <c r="E9" s="10" t="n">
        <v>0</v>
      </c>
      <c r="F9" s="10" t="n">
        <v>0</v>
      </c>
      <c r="G9" s="11">
        <f>SUM(B9:F9)</f>
        <v/>
      </c>
      <c r="H9" s="12">
        <f>B9/G9</f>
        <v/>
      </c>
      <c r="I9" s="12">
        <f>C9/G9</f>
        <v/>
      </c>
      <c r="J9" s="12">
        <f>D9/G9</f>
        <v/>
      </c>
      <c r="K9" s="12">
        <f>E9/G9</f>
        <v/>
      </c>
      <c r="L9" s="12">
        <f>F9/G9</f>
        <v/>
      </c>
    </row>
    <row r="10">
      <c r="A10" s="9" t="inlineStr">
        <is>
          <t>200</t>
        </is>
      </c>
      <c r="B10" s="10" t="n">
        <v>1741</v>
      </c>
      <c r="C10" s="10" t="n">
        <v>30</v>
      </c>
      <c r="D10" s="10" t="n">
        <v>825</v>
      </c>
      <c r="E10" s="10" t="n">
        <v>2</v>
      </c>
      <c r="F10" s="10" t="n">
        <v>0</v>
      </c>
      <c r="G10" s="11">
        <f>SUM(B10:F10)</f>
        <v/>
      </c>
      <c r="H10" s="12">
        <f>B10/G10</f>
        <v/>
      </c>
      <c r="I10" s="12">
        <f>C10/G10</f>
        <v/>
      </c>
      <c r="J10" s="12">
        <f>D10/G10</f>
        <v/>
      </c>
      <c r="K10" s="12">
        <f>E10/G10</f>
        <v/>
      </c>
      <c r="L10" s="12">
        <f>F10/G10</f>
        <v/>
      </c>
    </row>
    <row r="11">
      <c r="A11" s="9" t="inlineStr">
        <is>
          <t>202</t>
        </is>
      </c>
      <c r="B11" s="10" t="n">
        <v>2059</v>
      </c>
      <c r="C11" s="10" t="n">
        <v>55</v>
      </c>
      <c r="D11" s="10" t="n">
        <v>19</v>
      </c>
      <c r="E11" s="10" t="n">
        <v>1</v>
      </c>
      <c r="F11" s="10" t="n">
        <v>0</v>
      </c>
      <c r="G11" s="11">
        <f>SUM(B11:F11)</f>
        <v/>
      </c>
      <c r="H11" s="12">
        <f>B11/G11</f>
        <v/>
      </c>
      <c r="I11" s="12">
        <f>C11/G11</f>
        <v/>
      </c>
      <c r="J11" s="12">
        <f>D11/G11</f>
        <v/>
      </c>
      <c r="K11" s="12">
        <f>E11/G11</f>
        <v/>
      </c>
      <c r="L11" s="12">
        <f>F11/G11</f>
        <v/>
      </c>
    </row>
    <row r="12">
      <c r="A12" s="9" t="inlineStr">
        <is>
          <t>210</t>
        </is>
      </c>
      <c r="B12" s="10" t="n">
        <v>2419</v>
      </c>
      <c r="C12" s="10" t="n">
        <v>22</v>
      </c>
      <c r="D12" s="10" t="n">
        <v>195</v>
      </c>
      <c r="E12" s="10" t="n">
        <v>10</v>
      </c>
      <c r="F12" s="10" t="n">
        <v>0</v>
      </c>
      <c r="G12" s="11">
        <f>SUM(B12:F12)</f>
        <v/>
      </c>
      <c r="H12" s="12">
        <f>B12/G12</f>
        <v/>
      </c>
      <c r="I12" s="12">
        <f>C12/G12</f>
        <v/>
      </c>
      <c r="J12" s="12">
        <f>D12/G12</f>
        <v/>
      </c>
      <c r="K12" s="12">
        <f>E12/G12</f>
        <v/>
      </c>
      <c r="L12" s="12">
        <f>F12/G12</f>
        <v/>
      </c>
    </row>
    <row r="13">
      <c r="A13" s="9" t="inlineStr">
        <is>
          <t>212</t>
        </is>
      </c>
      <c r="B13" s="10" t="n">
        <v>2745</v>
      </c>
      <c r="C13" s="10" t="n">
        <v>0</v>
      </c>
      <c r="D13" s="10" t="n">
        <v>0</v>
      </c>
      <c r="E13" s="10" t="n">
        <v>0</v>
      </c>
      <c r="F13" s="10" t="n">
        <v>0</v>
      </c>
      <c r="G13" s="11">
        <f>SUM(B13:F13)</f>
        <v/>
      </c>
      <c r="H13" s="12">
        <f>B13/G13</f>
        <v/>
      </c>
      <c r="I13" s="12">
        <f>C13/G13</f>
        <v/>
      </c>
      <c r="J13" s="12">
        <f>D13/G13</f>
        <v/>
      </c>
      <c r="K13" s="12">
        <f>E13/G13</f>
        <v/>
      </c>
      <c r="L13" s="12">
        <f>F13/G13</f>
        <v/>
      </c>
    </row>
    <row r="14">
      <c r="A14" s="9" t="inlineStr">
        <is>
          <t>213</t>
        </is>
      </c>
      <c r="B14" s="10" t="n">
        <v>2637</v>
      </c>
      <c r="C14" s="10" t="n">
        <v>28</v>
      </c>
      <c r="D14" s="10" t="n">
        <v>220</v>
      </c>
      <c r="E14" s="10" t="n">
        <v>362</v>
      </c>
      <c r="F14" s="10" t="n">
        <v>0</v>
      </c>
      <c r="G14" s="11">
        <f>SUM(B14:F14)</f>
        <v/>
      </c>
      <c r="H14" s="12">
        <f>B14/G14</f>
        <v/>
      </c>
      <c r="I14" s="12">
        <f>C14/G14</f>
        <v/>
      </c>
      <c r="J14" s="12">
        <f>D14/G14</f>
        <v/>
      </c>
      <c r="K14" s="12">
        <f>E14/G14</f>
        <v/>
      </c>
      <c r="L14" s="12">
        <f>F14/G14</f>
        <v/>
      </c>
    </row>
    <row r="15">
      <c r="A15" s="9" t="inlineStr">
        <is>
          <t>214</t>
        </is>
      </c>
      <c r="B15" s="10" t="n">
        <v>2000</v>
      </c>
      <c r="C15" s="10" t="n">
        <v>0</v>
      </c>
      <c r="D15" s="10" t="n">
        <v>256</v>
      </c>
      <c r="E15" s="10" t="n">
        <v>1</v>
      </c>
      <c r="F15" s="10" t="n">
        <v>2</v>
      </c>
      <c r="G15" s="11">
        <f>SUM(B15:F15)</f>
        <v/>
      </c>
      <c r="H15" s="12">
        <f>B15/G15</f>
        <v/>
      </c>
      <c r="I15" s="12">
        <f>C15/G15</f>
        <v/>
      </c>
      <c r="J15" s="12">
        <f>D15/G15</f>
        <v/>
      </c>
      <c r="K15" s="12">
        <f>E15/G15</f>
        <v/>
      </c>
      <c r="L15" s="12">
        <f>F15/G15</f>
        <v/>
      </c>
    </row>
    <row r="16">
      <c r="A16" s="9" t="inlineStr">
        <is>
          <t>219</t>
        </is>
      </c>
      <c r="B16" s="10" t="n">
        <v>2080</v>
      </c>
      <c r="C16" s="10" t="n">
        <v>7</v>
      </c>
      <c r="D16" s="10" t="n">
        <v>64</v>
      </c>
      <c r="E16" s="10" t="n">
        <v>1</v>
      </c>
      <c r="F16" s="10" t="n">
        <v>0</v>
      </c>
      <c r="G16" s="11">
        <f>SUM(B16:F16)</f>
        <v/>
      </c>
      <c r="H16" s="12">
        <f>B16/G16</f>
        <v/>
      </c>
      <c r="I16" s="12">
        <f>C16/G16</f>
        <v/>
      </c>
      <c r="J16" s="12">
        <f>D16/G16</f>
        <v/>
      </c>
      <c r="K16" s="12">
        <f>E16/G16</f>
        <v/>
      </c>
      <c r="L16" s="12">
        <f>F16/G16</f>
        <v/>
      </c>
    </row>
    <row r="17">
      <c r="A17" s="9" t="inlineStr">
        <is>
          <t>221</t>
        </is>
      </c>
      <c r="B17" s="10" t="n">
        <v>2029</v>
      </c>
      <c r="C17" s="10" t="n">
        <v>0</v>
      </c>
      <c r="D17" s="10" t="n">
        <v>396</v>
      </c>
      <c r="E17" s="10" t="n">
        <v>0</v>
      </c>
      <c r="F17" s="10" t="n">
        <v>0</v>
      </c>
      <c r="G17" s="11">
        <f>SUM(B17:F17)</f>
        <v/>
      </c>
      <c r="H17" s="12">
        <f>B17/G17</f>
        <v/>
      </c>
      <c r="I17" s="12">
        <f>C17/G17</f>
        <v/>
      </c>
      <c r="J17" s="12">
        <f>D17/G17</f>
        <v/>
      </c>
      <c r="K17" s="12">
        <f>E17/G17</f>
        <v/>
      </c>
      <c r="L17" s="12">
        <f>F17/G17</f>
        <v/>
      </c>
    </row>
    <row r="18">
      <c r="A18" s="9" t="inlineStr">
        <is>
          <t>222</t>
        </is>
      </c>
      <c r="B18" s="10" t="n">
        <v>2272</v>
      </c>
      <c r="C18" s="10" t="n">
        <v>209</v>
      </c>
      <c r="D18" s="10" t="n">
        <v>0</v>
      </c>
      <c r="E18" s="10" t="n">
        <v>0</v>
      </c>
      <c r="F18" s="10" t="n">
        <v>0</v>
      </c>
      <c r="G18" s="11">
        <f>SUM(B18:F18)</f>
        <v/>
      </c>
      <c r="H18" s="12">
        <f>B18/G18</f>
        <v/>
      </c>
      <c r="I18" s="12">
        <f>C18/G18</f>
        <v/>
      </c>
      <c r="J18" s="12">
        <f>D18/G18</f>
        <v/>
      </c>
      <c r="K18" s="12">
        <f>E18/G18</f>
        <v/>
      </c>
      <c r="L18" s="12">
        <f>F18/G18</f>
        <v/>
      </c>
    </row>
    <row r="19">
      <c r="A19" s="9" t="inlineStr">
        <is>
          <t>228</t>
        </is>
      </c>
      <c r="B19" s="10" t="n">
        <v>1686</v>
      </c>
      <c r="C19" s="10" t="n">
        <v>3</v>
      </c>
      <c r="D19" s="10" t="n">
        <v>362</v>
      </c>
      <c r="E19" s="10" t="n">
        <v>0</v>
      </c>
      <c r="F19" s="10" t="n">
        <v>0</v>
      </c>
      <c r="G19" s="11">
        <f>SUM(B19:F19)</f>
        <v/>
      </c>
      <c r="H19" s="12">
        <f>B19/G19</f>
        <v/>
      </c>
      <c r="I19" s="12">
        <f>C19/G19</f>
        <v/>
      </c>
      <c r="J19" s="12">
        <f>D19/G19</f>
        <v/>
      </c>
      <c r="K19" s="12">
        <f>E19/G19</f>
        <v/>
      </c>
      <c r="L19" s="12">
        <f>F19/G19</f>
        <v/>
      </c>
    </row>
    <row r="20">
      <c r="A20" s="9" t="inlineStr">
        <is>
          <t>231</t>
        </is>
      </c>
      <c r="B20" s="10" t="n">
        <v>1566</v>
      </c>
      <c r="C20" s="10" t="n">
        <v>1</v>
      </c>
      <c r="D20" s="10" t="n">
        <v>2</v>
      </c>
      <c r="E20" s="10" t="n">
        <v>0</v>
      </c>
      <c r="F20" s="10" t="n">
        <v>0</v>
      </c>
      <c r="G20" s="11">
        <f>SUM(B20:F20)</f>
        <v/>
      </c>
      <c r="H20" s="12">
        <f>B20/G20</f>
        <v/>
      </c>
      <c r="I20" s="12">
        <f>C20/G20</f>
        <v/>
      </c>
      <c r="J20" s="12">
        <f>D20/G20</f>
        <v/>
      </c>
      <c r="K20" s="12">
        <f>E20/G20</f>
        <v/>
      </c>
      <c r="L20" s="12">
        <f>F20/G20</f>
        <v/>
      </c>
    </row>
    <row r="21">
      <c r="A21" s="9" t="inlineStr">
        <is>
          <t>232</t>
        </is>
      </c>
      <c r="B21" s="10" t="n">
        <v>398</v>
      </c>
      <c r="C21" s="10" t="n">
        <v>1382</v>
      </c>
      <c r="D21" s="10" t="n">
        <v>0</v>
      </c>
      <c r="E21" s="10" t="n">
        <v>0</v>
      </c>
      <c r="F21" s="10" t="n">
        <v>0</v>
      </c>
      <c r="G21" s="11">
        <f>SUM(B21:F21)</f>
        <v/>
      </c>
      <c r="H21" s="12">
        <f>B21/G21</f>
        <v/>
      </c>
      <c r="I21" s="12">
        <f>C21/G21</f>
        <v/>
      </c>
      <c r="J21" s="12">
        <f>D21/G21</f>
        <v/>
      </c>
      <c r="K21" s="12">
        <f>E21/G21</f>
        <v/>
      </c>
      <c r="L21" s="12">
        <f>F21/G21</f>
        <v/>
      </c>
    </row>
    <row r="22">
      <c r="A22" s="9" t="inlineStr">
        <is>
          <t>233</t>
        </is>
      </c>
      <c r="B22" s="10" t="n">
        <v>2227</v>
      </c>
      <c r="C22" s="10" t="n">
        <v>7</v>
      </c>
      <c r="D22" s="10" t="n">
        <v>830</v>
      </c>
      <c r="E22" s="10" t="n">
        <v>11</v>
      </c>
      <c r="F22" s="10" t="n">
        <v>0</v>
      </c>
      <c r="G22" s="11">
        <f>SUM(B22:F22)</f>
        <v/>
      </c>
      <c r="H22" s="12">
        <f>B22/G22</f>
        <v/>
      </c>
      <c r="I22" s="12">
        <f>C22/G22</f>
        <v/>
      </c>
      <c r="J22" s="12">
        <f>D22/G22</f>
        <v/>
      </c>
      <c r="K22" s="12">
        <f>E22/G22</f>
        <v/>
      </c>
      <c r="L22" s="12">
        <f>F22/G22</f>
        <v/>
      </c>
    </row>
    <row r="23">
      <c r="A23" s="9" t="inlineStr">
        <is>
          <t>234</t>
        </is>
      </c>
      <c r="B23" s="10" t="n">
        <v>2698</v>
      </c>
      <c r="C23" s="10" t="n">
        <v>50</v>
      </c>
      <c r="D23" s="10" t="n">
        <v>3</v>
      </c>
      <c r="E23" s="10" t="n">
        <v>0</v>
      </c>
      <c r="F23" s="10" t="n">
        <v>0</v>
      </c>
      <c r="G23" s="11">
        <f>SUM(B23:F23)</f>
        <v/>
      </c>
      <c r="H23" s="12">
        <f>B23/G23</f>
        <v/>
      </c>
      <c r="I23" s="12">
        <f>C23/G23</f>
        <v/>
      </c>
      <c r="J23" s="12">
        <f>D23/G23</f>
        <v/>
      </c>
      <c r="K23" s="12">
        <f>E23/G23</f>
        <v/>
      </c>
      <c r="L23" s="12">
        <f>F23/G23</f>
        <v/>
      </c>
    </row>
    <row r="24">
      <c r="A24" s="13" t="inlineStr">
        <is>
          <t>DS2_TOTAL</t>
        </is>
      </c>
      <c r="B24" s="14">
        <f>SUM(B2:B23)</f>
        <v/>
      </c>
      <c r="C24" s="14">
        <f>SUM(C2:C23)</f>
        <v/>
      </c>
      <c r="D24" s="14">
        <f>SUM(D2:D23)</f>
        <v/>
      </c>
      <c r="E24" s="14">
        <f>SUM(E2:E23)</f>
        <v/>
      </c>
      <c r="F24" s="14">
        <f>SUM(F2:F23)</f>
        <v/>
      </c>
      <c r="G24" s="14">
        <f>SUM(B24:F24)</f>
        <v/>
      </c>
      <c r="H24" s="15">
        <f>B24/G24</f>
        <v/>
      </c>
      <c r="I24" s="15">
        <f>C24/G24</f>
        <v/>
      </c>
      <c r="J24" s="15">
        <f>D24/G24</f>
        <v/>
      </c>
      <c r="K24" s="15">
        <f>E24/G24</f>
        <v/>
      </c>
      <c r="L24" s="15">
        <f>F24/G24</f>
        <v/>
      </c>
    </row>
  </sheetData>
  <autoFilter ref="A1:L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  <col width="33" customWidth="1" min="4" max="4"/>
    <col width="33" customWidth="1" min="5" max="5"/>
    <col width="33" customWidth="1" min="6" max="6"/>
    <col width="33" customWidth="1" min="7" max="7"/>
  </cols>
  <sheetData>
    <row r="1">
      <c r="A1" s="6" t="inlineStr">
        <is>
          <t>Dataset Summary Table</t>
        </is>
      </c>
    </row>
    <row r="2">
      <c r="A2" s="8" t="inlineStr">
        <is>
          <t>Dataset</t>
        </is>
      </c>
      <c r="B2" s="8" t="inlineStr">
        <is>
          <t>N</t>
        </is>
      </c>
      <c r="C2" s="8" t="inlineStr">
        <is>
          <t>SVEB/A</t>
        </is>
      </c>
      <c r="D2" s="8" t="inlineStr">
        <is>
          <t>VEB/PVC</t>
        </is>
      </c>
      <c r="E2" s="8" t="inlineStr">
        <is>
          <t>F/VT</t>
        </is>
      </c>
      <c r="F2" s="8" t="inlineStr">
        <is>
          <t>Q</t>
        </is>
      </c>
      <c r="G2" s="8" t="inlineStr">
        <is>
          <t>Total</t>
        </is>
      </c>
    </row>
    <row r="3">
      <c r="A3" s="16" t="inlineStr">
        <is>
          <t>DS1</t>
        </is>
      </c>
      <c r="B3" s="10">
        <f>DS1_PATIENT_LABEL_COUNTS!B24</f>
        <v/>
      </c>
      <c r="C3" s="10">
        <f>DS1_PATIENT_LABEL_COUNTS!C24</f>
        <v/>
      </c>
      <c r="D3" s="10">
        <f>DS1_PATIENT_LABEL_COUNTS!D24</f>
        <v/>
      </c>
      <c r="E3" s="10">
        <f>DS1_PATIENT_LABEL_COUNTS!E24</f>
        <v/>
      </c>
      <c r="F3" s="10">
        <f>DS1_PATIENT_LABEL_COUNTS!F24</f>
        <v/>
      </c>
      <c r="G3" s="11">
        <f>DS1_PATIENT_LABEL_COUNTS!G24</f>
        <v/>
      </c>
    </row>
    <row r="4">
      <c r="A4" s="16" t="inlineStr">
        <is>
          <t>DS2</t>
        </is>
      </c>
      <c r="B4" s="10">
        <f>DS2_PATIENT_LABEL_COUNTS!B24</f>
        <v/>
      </c>
      <c r="C4" s="10">
        <f>DS2_PATIENT_LABEL_COUNTS!C24</f>
        <v/>
      </c>
      <c r="D4" s="10">
        <f>DS2_PATIENT_LABEL_COUNTS!D24</f>
        <v/>
      </c>
      <c r="E4" s="10">
        <f>DS2_PATIENT_LABEL_COUNTS!E24</f>
        <v/>
      </c>
      <c r="F4" s="10">
        <f>DS2_PATIENT_LABEL_COUNTS!F24</f>
        <v/>
      </c>
      <c r="G4" s="11">
        <f>DS2_PATIENT_LABEL_COUNTS!G24</f>
        <v/>
      </c>
    </row>
    <row r="5">
      <c r="A5" s="13" t="inlineStr">
        <is>
          <t>COMBINED</t>
        </is>
      </c>
      <c r="B5" s="14">
        <f>B3+B4</f>
        <v/>
      </c>
      <c r="C5" s="14">
        <f>C3+C4</f>
        <v/>
      </c>
      <c r="D5" s="14">
        <f>D3+D4</f>
        <v/>
      </c>
      <c r="E5" s="14">
        <f>E3+E4</f>
        <v/>
      </c>
      <c r="F5" s="14">
        <f>F3+F4</f>
        <v/>
      </c>
      <c r="G5" s="14">
        <f>G3+G4</f>
        <v/>
      </c>
    </row>
    <row r="6"/>
    <row r="7"/>
    <row r="8">
      <c r="A8" s="6" t="inlineStr">
        <is>
          <t>Detailed Label Breakdown</t>
        </is>
      </c>
    </row>
    <row r="9">
      <c r="A9" s="8" t="inlineStr">
        <is>
          <t>Label</t>
        </is>
      </c>
      <c r="B9" s="8" t="inlineStr">
        <is>
          <t>DS1 Count</t>
        </is>
      </c>
      <c r="C9" s="8" t="inlineStr">
        <is>
          <t>DS1 %</t>
        </is>
      </c>
      <c r="D9" s="8" t="inlineStr">
        <is>
          <t>DS2 Count</t>
        </is>
      </c>
      <c r="E9" s="8" t="inlineStr">
        <is>
          <t>DS2 %</t>
        </is>
      </c>
      <c r="F9" s="8" t="inlineStr">
        <is>
          <t>Combined Count</t>
        </is>
      </c>
      <c r="G9" s="8" t="inlineStr">
        <is>
          <t>Combined %</t>
        </is>
      </c>
    </row>
    <row r="10">
      <c r="A10" s="16" t="inlineStr">
        <is>
          <t>N</t>
        </is>
      </c>
      <c r="B10" s="17">
        <f>B3</f>
        <v/>
      </c>
      <c r="C10" s="18">
        <f>B10/$G$3</f>
        <v/>
      </c>
      <c r="D10" s="17">
        <f>B4</f>
        <v/>
      </c>
      <c r="E10" s="18">
        <f>D10/$G$4</f>
        <v/>
      </c>
      <c r="F10" s="11">
        <f>B10+D10</f>
        <v/>
      </c>
      <c r="G10" s="19">
        <f>F10/$G$5</f>
        <v/>
      </c>
    </row>
    <row r="11">
      <c r="A11" s="16" t="inlineStr">
        <is>
          <t>SVEB/A</t>
        </is>
      </c>
      <c r="B11" s="17">
        <f>C3</f>
        <v/>
      </c>
      <c r="C11" s="18">
        <f>B11/$G$3</f>
        <v/>
      </c>
      <c r="D11" s="17">
        <f>C4</f>
        <v/>
      </c>
      <c r="E11" s="18">
        <f>D11/$G$4</f>
        <v/>
      </c>
      <c r="F11" s="11">
        <f>B11+D11</f>
        <v/>
      </c>
      <c r="G11" s="19">
        <f>F11/$G$5</f>
        <v/>
      </c>
    </row>
    <row r="12">
      <c r="A12" s="16" t="inlineStr">
        <is>
          <t>VEB/PVC</t>
        </is>
      </c>
      <c r="B12" s="17">
        <f>D3</f>
        <v/>
      </c>
      <c r="C12" s="18">
        <f>B12/$G$3</f>
        <v/>
      </c>
      <c r="D12" s="17">
        <f>D4</f>
        <v/>
      </c>
      <c r="E12" s="18">
        <f>D12/$G$4</f>
        <v/>
      </c>
      <c r="F12" s="11">
        <f>B12+D12</f>
        <v/>
      </c>
      <c r="G12" s="19">
        <f>F12/$G$5</f>
        <v/>
      </c>
    </row>
    <row r="13">
      <c r="A13" s="16" t="inlineStr">
        <is>
          <t>F/VT</t>
        </is>
      </c>
      <c r="B13" s="17">
        <f>E3</f>
        <v/>
      </c>
      <c r="C13" s="18">
        <f>B13/$G$3</f>
        <v/>
      </c>
      <c r="D13" s="17">
        <f>E4</f>
        <v/>
      </c>
      <c r="E13" s="18">
        <f>D13/$G$4</f>
        <v/>
      </c>
      <c r="F13" s="11">
        <f>B13+D13</f>
        <v/>
      </c>
      <c r="G13" s="19">
        <f>F13/$G$5</f>
        <v/>
      </c>
    </row>
    <row r="14">
      <c r="A14" s="16" t="inlineStr">
        <is>
          <t>Q</t>
        </is>
      </c>
      <c r="B14" s="17">
        <f>F3</f>
        <v/>
      </c>
      <c r="C14" s="18">
        <f>B14/$G$3</f>
        <v/>
      </c>
      <c r="D14" s="17">
        <f>F4</f>
        <v/>
      </c>
      <c r="E14" s="18">
        <f>D14/$G$4</f>
        <v/>
      </c>
      <c r="F14" s="11">
        <f>B14+D14</f>
        <v/>
      </c>
      <c r="G14" s="19">
        <f>F14/$G$5</f>
        <v/>
      </c>
    </row>
    <row r="15"/>
    <row r="16"/>
    <row r="17">
      <c r="A17" s="6" t="inlineStr">
        <is>
          <t>DS1 / DS2 Class Ratio Table</t>
        </is>
      </c>
    </row>
    <row r="18">
      <c r="A18" s="8" t="inlineStr">
        <is>
          <t>Label</t>
        </is>
      </c>
      <c r="B18" s="8" t="inlineStr">
        <is>
          <t>DS1 Count</t>
        </is>
      </c>
      <c r="C18" s="8" t="inlineStr">
        <is>
          <t>DS2 Count</t>
        </is>
      </c>
      <c r="D18" s="8" t="inlineStr">
        <is>
          <t>DS1 / DS2 Ratio</t>
        </is>
      </c>
    </row>
    <row r="19">
      <c r="A19" s="16" t="inlineStr">
        <is>
          <t>N</t>
        </is>
      </c>
      <c r="B19" s="20">
        <f>B10</f>
        <v/>
      </c>
      <c r="C19" s="20">
        <f>D10</f>
        <v/>
      </c>
      <c r="D19" s="21">
        <f>IF(D10=0, "N/A", B10/D10)</f>
        <v/>
      </c>
    </row>
    <row r="20">
      <c r="A20" s="16" t="inlineStr">
        <is>
          <t>SVEB/A</t>
        </is>
      </c>
      <c r="B20" s="20">
        <f>B11</f>
        <v/>
      </c>
      <c r="C20" s="20">
        <f>D11</f>
        <v/>
      </c>
      <c r="D20" s="21">
        <f>IF(D11=0, "N/A", B11/D11)</f>
        <v/>
      </c>
    </row>
    <row r="21">
      <c r="A21" s="16" t="inlineStr">
        <is>
          <t>VEB/PVC</t>
        </is>
      </c>
      <c r="B21" s="20">
        <f>B12</f>
        <v/>
      </c>
      <c r="C21" s="20">
        <f>D12</f>
        <v/>
      </c>
      <c r="D21" s="21">
        <f>IF(D12=0, "N/A", B12/D12)</f>
        <v/>
      </c>
    </row>
    <row r="22">
      <c r="A22" s="16" t="inlineStr">
        <is>
          <t>F/VT</t>
        </is>
      </c>
      <c r="B22" s="20">
        <f>B13</f>
        <v/>
      </c>
      <c r="C22" s="20">
        <f>D13</f>
        <v/>
      </c>
      <c r="D22" s="21">
        <f>IF(D13=0, "N/A", B13/D13)</f>
        <v/>
      </c>
    </row>
    <row r="23">
      <c r="A23" s="16" t="inlineStr">
        <is>
          <t>Q</t>
        </is>
      </c>
      <c r="B23" s="20">
        <f>B14</f>
        <v/>
      </c>
      <c r="C23" s="20">
        <f>D14</f>
        <v/>
      </c>
      <c r="D23" s="21">
        <f>IF(D14=0, "N/A", B14/D14)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92" customWidth="1" min="2" max="2"/>
    <col width="27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3" customWidth="1" min="9" max="9"/>
    <col width="18" customWidth="1" min="10" max="10"/>
    <col width="19" customWidth="1" min="11" max="11"/>
    <col width="16" customWidth="1" min="12" max="12"/>
    <col width="13" customWidth="1" min="13" max="13"/>
  </cols>
  <sheetData>
    <row r="1">
      <c r="A1" s="6" t="inlineStr">
        <is>
          <t>DS1 Patient-Level 5-Fold Stratified Validation Distribution</t>
        </is>
      </c>
    </row>
    <row r="2">
      <c r="A2" s="8" t="inlineStr">
        <is>
          <t>Fold</t>
        </is>
      </c>
      <c r="B2" s="8" t="inlineStr">
        <is>
          <t>Validation Patients</t>
        </is>
      </c>
      <c r="C2" s="8" t="inlineStr">
        <is>
          <t>N</t>
        </is>
      </c>
      <c r="D2" s="8" t="inlineStr">
        <is>
          <t>SVEB_A</t>
        </is>
      </c>
      <c r="E2" s="8" t="inlineStr">
        <is>
          <t>VEB_PVC</t>
        </is>
      </c>
      <c r="F2" s="8" t="inlineStr">
        <is>
          <t>F_VT</t>
        </is>
      </c>
      <c r="G2" s="8" t="inlineStr">
        <is>
          <t>Q</t>
        </is>
      </c>
      <c r="H2" s="8" t="inlineStr">
        <is>
          <t>Total_Beats</t>
        </is>
      </c>
      <c r="I2" s="8" t="inlineStr">
        <is>
          <t>N_Percent</t>
        </is>
      </c>
      <c r="J2" s="8" t="inlineStr">
        <is>
          <t>SVEB_A_Percent</t>
        </is>
      </c>
      <c r="K2" s="8" t="inlineStr">
        <is>
          <t>VEB_PVC_Percent</t>
        </is>
      </c>
      <c r="L2" s="8" t="inlineStr">
        <is>
          <t>F_VT_Percent</t>
        </is>
      </c>
      <c r="M2" s="8" t="inlineStr">
        <is>
          <t>Q_Percent</t>
        </is>
      </c>
    </row>
    <row r="3">
      <c r="A3" s="16" t="inlineStr">
        <is>
          <t>Fold 1</t>
        </is>
      </c>
      <c r="B3" s="22" t="inlineStr">
        <is>
          <t>115, 119, 122, 207, 230</t>
        </is>
      </c>
      <c r="C3" s="10" t="n">
        <v>9757</v>
      </c>
      <c r="D3" s="10" t="n">
        <v>106</v>
      </c>
      <c r="E3" s="10" t="n">
        <v>654</v>
      </c>
      <c r="F3" s="10" t="n">
        <v>484</v>
      </c>
      <c r="G3" s="10" t="n">
        <v>0</v>
      </c>
      <c r="H3" s="11">
        <f>SUM(C3:G3)</f>
        <v/>
      </c>
      <c r="I3" s="18">
        <f>C3/H3</f>
        <v/>
      </c>
      <c r="J3" s="18">
        <f>D3/H3</f>
        <v/>
      </c>
      <c r="K3" s="18">
        <f>E3/H3</f>
        <v/>
      </c>
      <c r="L3" s="18">
        <f>F3/H3</f>
        <v/>
      </c>
      <c r="M3" s="18">
        <f>G3/H3</f>
        <v/>
      </c>
    </row>
    <row r="4">
      <c r="A4" s="16" t="inlineStr">
        <is>
          <t>Fold 2</t>
        </is>
      </c>
      <c r="B4" s="22" t="inlineStr">
        <is>
          <t>101, 112, 118, 208, 220</t>
        </is>
      </c>
      <c r="C4" s="10" t="n">
        <v>10092</v>
      </c>
      <c r="D4" s="10" t="n">
        <v>197</v>
      </c>
      <c r="E4" s="10" t="n">
        <v>1007</v>
      </c>
      <c r="F4" s="10" t="n">
        <v>372</v>
      </c>
      <c r="G4" s="10" t="n">
        <v>4</v>
      </c>
      <c r="H4" s="11">
        <f>SUM(C4:G4)</f>
        <v/>
      </c>
      <c r="I4" s="18">
        <f>C4/H4</f>
        <v/>
      </c>
      <c r="J4" s="18">
        <f>D4/H4</f>
        <v/>
      </c>
      <c r="K4" s="18">
        <f>E4/H4</f>
        <v/>
      </c>
      <c r="L4" s="18">
        <f>F4/H4</f>
        <v/>
      </c>
      <c r="M4" s="18">
        <f>G4/H4</f>
        <v/>
      </c>
    </row>
    <row r="5">
      <c r="A5" s="16" t="inlineStr">
        <is>
          <t>Fold 3</t>
        </is>
      </c>
      <c r="B5" s="22" t="inlineStr">
        <is>
          <t>114, 124, 205, 223</t>
        </is>
      </c>
      <c r="C5" s="10" t="n">
        <v>7964</v>
      </c>
      <c r="D5" s="10" t="n">
        <v>119</v>
      </c>
      <c r="E5" s="10" t="n">
        <v>634</v>
      </c>
      <c r="F5" s="10" t="n">
        <v>34</v>
      </c>
      <c r="G5" s="10" t="n">
        <v>0</v>
      </c>
      <c r="H5" s="11">
        <f>SUM(C5:G5)</f>
        <v/>
      </c>
      <c r="I5" s="18">
        <f>C5/H5</f>
        <v/>
      </c>
      <c r="J5" s="18">
        <f>D5/H5</f>
        <v/>
      </c>
      <c r="K5" s="18">
        <f>E5/H5</f>
        <v/>
      </c>
      <c r="L5" s="18">
        <f>F5/H5</f>
        <v/>
      </c>
      <c r="M5" s="18">
        <f>G5/H5</f>
        <v/>
      </c>
    </row>
    <row r="6">
      <c r="A6" s="16" t="inlineStr">
        <is>
          <t>Fold 4</t>
        </is>
      </c>
      <c r="B6" s="22" t="inlineStr">
        <is>
          <t>108, 109, 201, 215</t>
        </is>
      </c>
      <c r="C6" s="10" t="n">
        <v>9050</v>
      </c>
      <c r="D6" s="10" t="n">
        <v>135</v>
      </c>
      <c r="E6" s="10" t="n">
        <v>417</v>
      </c>
      <c r="F6" s="10" t="n">
        <v>7</v>
      </c>
      <c r="G6" s="10" t="n">
        <v>0</v>
      </c>
      <c r="H6" s="11">
        <f>SUM(C6:G6)</f>
        <v/>
      </c>
      <c r="I6" s="18">
        <f>C6/H6</f>
        <v/>
      </c>
      <c r="J6" s="18">
        <f>D6/H6</f>
        <v/>
      </c>
      <c r="K6" s="18">
        <f>E6/H6</f>
        <v/>
      </c>
      <c r="L6" s="18">
        <f>F6/H6</f>
        <v/>
      </c>
      <c r="M6" s="18">
        <f>G6/H6</f>
        <v/>
      </c>
    </row>
    <row r="7">
      <c r="A7" s="16" t="inlineStr">
        <is>
          <t>Fold 5</t>
        </is>
      </c>
      <c r="B7" s="22" t="inlineStr">
        <is>
          <t>106, 116, 203, 209</t>
        </is>
      </c>
      <c r="C7" s="10" t="n">
        <v>8950</v>
      </c>
      <c r="D7" s="10" t="n">
        <v>386</v>
      </c>
      <c r="E7" s="10" t="n">
        <v>1074</v>
      </c>
      <c r="F7" s="10" t="n">
        <v>1</v>
      </c>
      <c r="G7" s="10" t="n">
        <v>4</v>
      </c>
      <c r="H7" s="11">
        <f>SUM(C7:G7)</f>
        <v/>
      </c>
      <c r="I7" s="18">
        <f>C7/H7</f>
        <v/>
      </c>
      <c r="J7" s="18">
        <f>D7/H7</f>
        <v/>
      </c>
      <c r="K7" s="18">
        <f>E7/H7</f>
        <v/>
      </c>
      <c r="L7" s="18">
        <f>F7/H7</f>
        <v/>
      </c>
      <c r="M7" s="18">
        <f>G7/H7</f>
        <v/>
      </c>
    </row>
    <row r="8">
      <c r="A8" s="13" t="inlineStr">
        <is>
          <t>TOTAL</t>
        </is>
      </c>
      <c r="B8" s="13" t="inlineStr">
        <is>
          <t>All 22 DS1 Patients</t>
        </is>
      </c>
      <c r="C8" s="14">
        <f>SUM(C3:C7)</f>
        <v/>
      </c>
      <c r="D8" s="14">
        <f>SUM(D3:D7)</f>
        <v/>
      </c>
      <c r="E8" s="14">
        <f>SUM(E3:E7)</f>
        <v/>
      </c>
      <c r="F8" s="14">
        <f>SUM(F3:F7)</f>
        <v/>
      </c>
      <c r="G8" s="14">
        <f>SUM(G3:G7)</f>
        <v/>
      </c>
      <c r="H8" s="14">
        <f>SUM(H3:H7)</f>
        <v/>
      </c>
      <c r="I8" s="15">
        <f>C8/H8</f>
        <v/>
      </c>
      <c r="J8" s="15">
        <f>D8/H8</f>
        <v/>
      </c>
      <c r="K8" s="15">
        <f>E8/H8</f>
        <v/>
      </c>
      <c r="L8" s="15">
        <f>F8/H8</f>
        <v/>
      </c>
      <c r="M8" s="15">
        <f>G8/H8</f>
        <v/>
      </c>
    </row>
    <row r="9"/>
    <row r="10"/>
    <row r="11">
      <c r="A11" s="6" t="inlineStr">
        <is>
          <t>Explicit Train/Validation Patient Assignment Table</t>
        </is>
      </c>
    </row>
    <row r="12">
      <c r="A12" s="8" t="inlineStr">
        <is>
          <t>Fold</t>
        </is>
      </c>
      <c r="B12" s="8" t="inlineStr">
        <is>
          <t>Training Patients</t>
        </is>
      </c>
      <c r="C12" s="8" t="inlineStr">
        <is>
          <t>Validation Patients</t>
        </is>
      </c>
    </row>
    <row r="13">
      <c r="A13" s="16" t="inlineStr">
        <is>
          <t>Fold 1</t>
        </is>
      </c>
      <c r="B13" s="22" t="inlineStr">
        <is>
          <t>101, 106, 108, 109, 112, 114, 116, 118, 124, 201, 203, 205, 208, 209, 215, 220, 223</t>
        </is>
      </c>
      <c r="C13" s="22" t="inlineStr">
        <is>
          <t>115, 119, 122, 207, 230</t>
        </is>
      </c>
    </row>
    <row r="14">
      <c r="A14" s="16" t="inlineStr">
        <is>
          <t>Fold 2</t>
        </is>
      </c>
      <c r="B14" s="22" t="inlineStr">
        <is>
          <t>106, 108, 109, 114, 115, 116, 119, 122, 124, 201, 203, 205, 207, 209, 215, 223, 230</t>
        </is>
      </c>
      <c r="C14" s="22" t="inlineStr">
        <is>
          <t>101, 112, 118, 208, 220</t>
        </is>
      </c>
    </row>
    <row r="15">
      <c r="A15" s="16" t="inlineStr">
        <is>
          <t>Fold 3</t>
        </is>
      </c>
      <c r="B15" s="22" t="inlineStr">
        <is>
          <t>101, 106, 108, 109, 112, 115, 116, 118, 119, 122, 201, 203, 207, 208, 209, 215, 220, 230</t>
        </is>
      </c>
      <c r="C15" s="22" t="inlineStr">
        <is>
          <t>114, 124, 205, 223</t>
        </is>
      </c>
    </row>
    <row r="16">
      <c r="A16" s="16" t="inlineStr">
        <is>
          <t>Fold 4</t>
        </is>
      </c>
      <c r="B16" s="22" t="inlineStr">
        <is>
          <t>101, 106, 112, 114, 115, 116, 118, 119, 122, 124, 203, 205, 207, 208, 209, 220, 223, 230</t>
        </is>
      </c>
      <c r="C16" s="22" t="inlineStr">
        <is>
          <t>108, 109, 201, 215</t>
        </is>
      </c>
    </row>
    <row r="17">
      <c r="A17" s="16" t="inlineStr">
        <is>
          <t>Fold 5</t>
        </is>
      </c>
      <c r="B17" s="22" t="inlineStr">
        <is>
          <t>101, 108, 109, 112, 114, 115, 118, 119, 122, 124, 201, 205, 207, 208, 215, 220, 223, 230</t>
        </is>
      </c>
      <c r="C17" s="22" t="inlineStr">
        <is>
          <t>106, 116, 203, 209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15" customWidth="1" min="7" max="7"/>
  </cols>
  <sheetData>
    <row r="1">
      <c r="A1" s="8" t="inlineStr">
        <is>
          <t>Dataset</t>
        </is>
      </c>
      <c r="B1" s="8" t="inlineStr">
        <is>
          <t>Record</t>
        </is>
      </c>
      <c r="C1" s="8" t="inlineStr">
        <is>
          <t>SVEB_A</t>
        </is>
      </c>
      <c r="D1" s="8" t="inlineStr">
        <is>
          <t>F_VT</t>
        </is>
      </c>
      <c r="E1" s="8" t="inlineStr">
        <is>
          <t>SVEB_A + F_VT</t>
        </is>
      </c>
      <c r="F1" s="8" t="inlineStr">
        <is>
          <t>VEB_PVC</t>
        </is>
      </c>
      <c r="G1" s="8" t="inlineStr">
        <is>
          <t>Total_Beats</t>
        </is>
      </c>
    </row>
    <row r="2">
      <c r="A2" s="23" t="inlineStr">
        <is>
          <t>DS1</t>
        </is>
      </c>
      <c r="B2" s="23" t="inlineStr">
        <is>
          <t>207</t>
        </is>
      </c>
      <c r="C2" s="20" t="n">
        <v>106</v>
      </c>
      <c r="D2" s="20" t="n">
        <v>484</v>
      </c>
      <c r="E2" s="24">
        <f>C2+D2</f>
        <v/>
      </c>
      <c r="F2" s="20" t="n">
        <v>209</v>
      </c>
      <c r="G2" s="20" t="n">
        <v>2341</v>
      </c>
    </row>
    <row r="3">
      <c r="A3" s="23" t="inlineStr">
        <is>
          <t>DS1</t>
        </is>
      </c>
      <c r="B3" s="23" t="inlineStr">
        <is>
          <t>209</t>
        </is>
      </c>
      <c r="C3" s="20" t="n">
        <v>383</v>
      </c>
      <c r="D3" s="20" t="n">
        <v>0</v>
      </c>
      <c r="E3" s="24">
        <f>C3+D3</f>
        <v/>
      </c>
      <c r="F3" s="20" t="n">
        <v>1</v>
      </c>
      <c r="G3" s="20" t="n">
        <v>3003</v>
      </c>
    </row>
    <row r="4">
      <c r="A4" s="23" t="inlineStr">
        <is>
          <t>DS1</t>
        </is>
      </c>
      <c r="B4" s="23" t="inlineStr">
        <is>
          <t>208</t>
        </is>
      </c>
      <c r="C4" s="20" t="n">
        <v>2</v>
      </c>
      <c r="D4" s="20" t="n">
        <v>372</v>
      </c>
      <c r="E4" s="24">
        <f>C4+D4</f>
        <v/>
      </c>
      <c r="F4" s="20" t="n">
        <v>991</v>
      </c>
      <c r="G4" s="20" t="n">
        <v>2951</v>
      </c>
    </row>
    <row r="5">
      <c r="A5" s="23" t="inlineStr">
        <is>
          <t>DS1</t>
        </is>
      </c>
      <c r="B5" s="23" t="inlineStr">
        <is>
          <t>201</t>
        </is>
      </c>
      <c r="C5" s="20" t="n">
        <v>128</v>
      </c>
      <c r="D5" s="20" t="n">
        <v>2</v>
      </c>
      <c r="E5" s="24">
        <f>C5+D5</f>
        <v/>
      </c>
      <c r="F5" s="20" t="n">
        <v>198</v>
      </c>
      <c r="G5" s="20" t="n">
        <v>1961</v>
      </c>
    </row>
    <row r="6">
      <c r="A6" s="23" t="inlineStr">
        <is>
          <t>DS1</t>
        </is>
      </c>
      <c r="B6" s="23" t="inlineStr">
        <is>
          <t>118</t>
        </is>
      </c>
      <c r="C6" s="20" t="n">
        <v>96</v>
      </c>
      <c r="D6" s="20" t="n">
        <v>0</v>
      </c>
      <c r="E6" s="24">
        <f>C6+D6</f>
        <v/>
      </c>
      <c r="F6" s="20" t="n">
        <v>16</v>
      </c>
      <c r="G6" s="20" t="n">
        <v>2276</v>
      </c>
    </row>
    <row r="7">
      <c r="A7" s="23" t="inlineStr">
        <is>
          <t>DS1</t>
        </is>
      </c>
      <c r="B7" s="23" t="inlineStr">
        <is>
          <t>220</t>
        </is>
      </c>
      <c r="C7" s="20" t="n">
        <v>94</v>
      </c>
      <c r="D7" s="20" t="n">
        <v>0</v>
      </c>
      <c r="E7" s="24">
        <f>C7+D7</f>
        <v/>
      </c>
      <c r="F7" s="20" t="n">
        <v>0</v>
      </c>
      <c r="G7" s="20" t="n">
        <v>2045</v>
      </c>
    </row>
    <row r="8">
      <c r="A8" s="23" t="inlineStr">
        <is>
          <t>DS1</t>
        </is>
      </c>
      <c r="B8" s="23" t="inlineStr">
        <is>
          <t>223</t>
        </is>
      </c>
      <c r="C8" s="20" t="n">
        <v>73</v>
      </c>
      <c r="D8" s="20" t="n">
        <v>14</v>
      </c>
      <c r="E8" s="24">
        <f>C8+D8</f>
        <v/>
      </c>
      <c r="F8" s="20" t="n">
        <v>473</v>
      </c>
      <c r="G8" s="20" t="n">
        <v>2603</v>
      </c>
    </row>
    <row r="9">
      <c r="A9" s="23" t="inlineStr">
        <is>
          <t>DS1</t>
        </is>
      </c>
      <c r="B9" s="23" t="inlineStr">
        <is>
          <t>124</t>
        </is>
      </c>
      <c r="C9" s="20" t="n">
        <v>31</v>
      </c>
      <c r="D9" s="20" t="n">
        <v>5</v>
      </c>
      <c r="E9" s="24">
        <f>C9+D9</f>
        <v/>
      </c>
      <c r="F9" s="20" t="n">
        <v>47</v>
      </c>
      <c r="G9" s="20" t="n">
        <v>1617</v>
      </c>
    </row>
    <row r="10">
      <c r="A10" s="23" t="inlineStr">
        <is>
          <t>DS1</t>
        </is>
      </c>
      <c r="B10" s="23" t="inlineStr">
        <is>
          <t>114</t>
        </is>
      </c>
      <c r="C10" s="20" t="n">
        <v>12</v>
      </c>
      <c r="D10" s="20" t="n">
        <v>4</v>
      </c>
      <c r="E10" s="24">
        <f>C10+D10</f>
        <v/>
      </c>
      <c r="F10" s="20" t="n">
        <v>43</v>
      </c>
      <c r="G10" s="20" t="n">
        <v>1877</v>
      </c>
    </row>
    <row r="11">
      <c r="A11" s="23" t="inlineStr">
        <is>
          <t>DS1</t>
        </is>
      </c>
      <c r="B11" s="23" t="inlineStr">
        <is>
          <t>205</t>
        </is>
      </c>
      <c r="C11" s="20" t="n">
        <v>3</v>
      </c>
      <c r="D11" s="20" t="n">
        <v>11</v>
      </c>
      <c r="E11" s="24">
        <f>C11+D11</f>
        <v/>
      </c>
      <c r="F11" s="20" t="n">
        <v>71</v>
      </c>
      <c r="G11" s="20" t="n">
        <v>2654</v>
      </c>
    </row>
    <row r="12">
      <c r="A12" s="23" t="inlineStr">
        <is>
          <t>DS1</t>
        </is>
      </c>
      <c r="B12" s="23" t="inlineStr">
        <is>
          <t>108</t>
        </is>
      </c>
      <c r="C12" s="20" t="n">
        <v>4</v>
      </c>
      <c r="D12" s="20" t="n">
        <v>2</v>
      </c>
      <c r="E12" s="24">
        <f>C12+D12</f>
        <v/>
      </c>
      <c r="F12" s="20" t="n">
        <v>17</v>
      </c>
      <c r="G12" s="20" t="n">
        <v>1761</v>
      </c>
    </row>
    <row r="13">
      <c r="A13" s="23" t="inlineStr">
        <is>
          <t>DS1</t>
        </is>
      </c>
      <c r="B13" s="23" t="inlineStr">
        <is>
          <t>215</t>
        </is>
      </c>
      <c r="C13" s="20" t="n">
        <v>3</v>
      </c>
      <c r="D13" s="20" t="n">
        <v>1</v>
      </c>
      <c r="E13" s="24">
        <f>C13+D13</f>
        <v/>
      </c>
      <c r="F13" s="20" t="n">
        <v>164</v>
      </c>
      <c r="G13" s="20" t="n">
        <v>3359</v>
      </c>
    </row>
    <row r="14">
      <c r="A14" s="23" t="inlineStr">
        <is>
          <t>DS1</t>
        </is>
      </c>
      <c r="B14" s="23" t="inlineStr">
        <is>
          <t>203</t>
        </is>
      </c>
      <c r="C14" s="20" t="n">
        <v>2</v>
      </c>
      <c r="D14" s="20" t="n">
        <v>1</v>
      </c>
      <c r="E14" s="24">
        <f>C14+D14</f>
        <v/>
      </c>
      <c r="F14" s="20" t="n">
        <v>444</v>
      </c>
      <c r="G14" s="20" t="n">
        <v>2978</v>
      </c>
    </row>
    <row r="15">
      <c r="A15" s="23" t="inlineStr">
        <is>
          <t>DS1</t>
        </is>
      </c>
      <c r="B15" s="23" t="inlineStr">
        <is>
          <t>101</t>
        </is>
      </c>
      <c r="C15" s="20" t="n">
        <v>3</v>
      </c>
      <c r="D15" s="20" t="n">
        <v>0</v>
      </c>
      <c r="E15" s="24">
        <f>C15+D15</f>
        <v/>
      </c>
      <c r="F15" s="20" t="n">
        <v>0</v>
      </c>
      <c r="G15" s="20" t="n">
        <v>1863</v>
      </c>
    </row>
    <row r="16">
      <c r="A16" s="23" t="inlineStr">
        <is>
          <t>DS1</t>
        </is>
      </c>
      <c r="B16" s="23" t="inlineStr">
        <is>
          <t>109</t>
        </is>
      </c>
      <c r="C16" s="20" t="n">
        <v>0</v>
      </c>
      <c r="D16" s="20" t="n">
        <v>2</v>
      </c>
      <c r="E16" s="24">
        <f>C16+D16</f>
        <v/>
      </c>
      <c r="F16" s="20" t="n">
        <v>38</v>
      </c>
      <c r="G16" s="20" t="n">
        <v>2528</v>
      </c>
    </row>
    <row r="17">
      <c r="A17" s="23" t="inlineStr">
        <is>
          <t>DS1</t>
        </is>
      </c>
      <c r="B17" s="23" t="inlineStr">
        <is>
          <t>112</t>
        </is>
      </c>
      <c r="C17" s="20" t="n">
        <v>2</v>
      </c>
      <c r="D17" s="20" t="n">
        <v>0</v>
      </c>
      <c r="E17" s="24">
        <f>C17+D17</f>
        <v/>
      </c>
      <c r="F17" s="20" t="n">
        <v>0</v>
      </c>
      <c r="G17" s="20" t="n">
        <v>2537</v>
      </c>
    </row>
    <row r="18">
      <c r="A18" s="23" t="inlineStr">
        <is>
          <t>DS1</t>
        </is>
      </c>
      <c r="B18" s="23" t="inlineStr">
        <is>
          <t>116</t>
        </is>
      </c>
      <c r="C18" s="20" t="n">
        <v>1</v>
      </c>
      <c r="D18" s="20" t="n">
        <v>0</v>
      </c>
      <c r="E18" s="24">
        <f>C18+D18</f>
        <v/>
      </c>
      <c r="F18" s="20" t="n">
        <v>109</v>
      </c>
      <c r="G18" s="20" t="n">
        <v>2409</v>
      </c>
    </row>
    <row r="19">
      <c r="A19" s="23" t="inlineStr">
        <is>
          <t>DS1</t>
        </is>
      </c>
      <c r="B19" s="23" t="inlineStr">
        <is>
          <t>106</t>
        </is>
      </c>
      <c r="C19" s="20" t="n">
        <v>0</v>
      </c>
      <c r="D19" s="20" t="n">
        <v>0</v>
      </c>
      <c r="E19" s="24">
        <f>C19+D19</f>
        <v/>
      </c>
      <c r="F19" s="20" t="n">
        <v>520</v>
      </c>
      <c r="G19" s="20" t="n">
        <v>2025</v>
      </c>
    </row>
    <row r="20">
      <c r="A20" s="23" t="inlineStr">
        <is>
          <t>DS1</t>
        </is>
      </c>
      <c r="B20" s="23" t="inlineStr">
        <is>
          <t>119</t>
        </is>
      </c>
      <c r="C20" s="20" t="n">
        <v>0</v>
      </c>
      <c r="D20" s="20" t="n">
        <v>0</v>
      </c>
      <c r="E20" s="24">
        <f>C20+D20</f>
        <v/>
      </c>
      <c r="F20" s="20" t="n">
        <v>444</v>
      </c>
      <c r="G20" s="20" t="n">
        <v>1985</v>
      </c>
    </row>
    <row r="21">
      <c r="A21" s="23" t="inlineStr">
        <is>
          <t>DS1</t>
        </is>
      </c>
      <c r="B21" s="23" t="inlineStr">
        <is>
          <t>230</t>
        </is>
      </c>
      <c r="C21" s="20" t="n">
        <v>0</v>
      </c>
      <c r="D21" s="20" t="n">
        <v>0</v>
      </c>
      <c r="E21" s="24">
        <f>C21+D21</f>
        <v/>
      </c>
      <c r="F21" s="20" t="n">
        <v>1</v>
      </c>
      <c r="G21" s="20" t="n">
        <v>2253</v>
      </c>
    </row>
    <row r="22">
      <c r="A22" s="23" t="inlineStr">
        <is>
          <t>DS1</t>
        </is>
      </c>
      <c r="B22" s="23" t="inlineStr">
        <is>
          <t>115</t>
        </is>
      </c>
      <c r="C22" s="20" t="n">
        <v>0</v>
      </c>
      <c r="D22" s="20" t="n">
        <v>0</v>
      </c>
      <c r="E22" s="24">
        <f>C22+D22</f>
        <v/>
      </c>
      <c r="F22" s="20" t="n">
        <v>0</v>
      </c>
      <c r="G22" s="20" t="n">
        <v>1950</v>
      </c>
    </row>
    <row r="23">
      <c r="A23" s="23" t="inlineStr">
        <is>
          <t>DS1</t>
        </is>
      </c>
      <c r="B23" s="23" t="inlineStr">
        <is>
          <t>122</t>
        </is>
      </c>
      <c r="C23" s="20" t="n">
        <v>0</v>
      </c>
      <c r="D23" s="20" t="n">
        <v>0</v>
      </c>
      <c r="E23" s="24">
        <f>C23+D23</f>
        <v/>
      </c>
      <c r="F23" s="20" t="n">
        <v>0</v>
      </c>
      <c r="G23" s="20" t="n">
        <v>2472</v>
      </c>
    </row>
    <row r="24">
      <c r="A24" s="23" t="inlineStr">
        <is>
          <t>DS2</t>
        </is>
      </c>
      <c r="B24" s="23" t="inlineStr">
        <is>
          <t>232</t>
        </is>
      </c>
      <c r="C24" s="20" t="n">
        <v>1382</v>
      </c>
      <c r="D24" s="20" t="n">
        <v>0</v>
      </c>
      <c r="E24" s="24">
        <f>C24+D24</f>
        <v/>
      </c>
      <c r="F24" s="20" t="n">
        <v>0</v>
      </c>
      <c r="G24" s="20" t="n">
        <v>1780</v>
      </c>
    </row>
    <row r="25">
      <c r="A25" s="23" t="inlineStr">
        <is>
          <t>DS2</t>
        </is>
      </c>
      <c r="B25" s="23" t="inlineStr">
        <is>
          <t>213</t>
        </is>
      </c>
      <c r="C25" s="20" t="n">
        <v>28</v>
      </c>
      <c r="D25" s="20" t="n">
        <v>362</v>
      </c>
      <c r="E25" s="24">
        <f>C25+D25</f>
        <v/>
      </c>
      <c r="F25" s="20" t="n">
        <v>220</v>
      </c>
      <c r="G25" s="20" t="n">
        <v>3247</v>
      </c>
    </row>
    <row r="26">
      <c r="A26" s="23" t="inlineStr">
        <is>
          <t>DS2</t>
        </is>
      </c>
      <c r="B26" s="23" t="inlineStr">
        <is>
          <t>222</t>
        </is>
      </c>
      <c r="C26" s="20" t="n">
        <v>209</v>
      </c>
      <c r="D26" s="20" t="n">
        <v>0</v>
      </c>
      <c r="E26" s="24">
        <f>C26+D26</f>
        <v/>
      </c>
      <c r="F26" s="20" t="n">
        <v>0</v>
      </c>
      <c r="G26" s="20" t="n">
        <v>2481</v>
      </c>
    </row>
    <row r="27">
      <c r="A27" s="23" t="inlineStr">
        <is>
          <t>DS2</t>
        </is>
      </c>
      <c r="B27" s="23" t="inlineStr">
        <is>
          <t>202</t>
        </is>
      </c>
      <c r="C27" s="20" t="n">
        <v>55</v>
      </c>
      <c r="D27" s="20" t="n">
        <v>1</v>
      </c>
      <c r="E27" s="24">
        <f>C27+D27</f>
        <v/>
      </c>
      <c r="F27" s="20" t="n">
        <v>19</v>
      </c>
      <c r="G27" s="20" t="n">
        <v>2134</v>
      </c>
    </row>
    <row r="28">
      <c r="A28" s="23" t="inlineStr">
        <is>
          <t>DS2</t>
        </is>
      </c>
      <c r="B28" s="23" t="inlineStr">
        <is>
          <t>234</t>
        </is>
      </c>
      <c r="C28" s="20" t="n">
        <v>50</v>
      </c>
      <c r="D28" s="20" t="n">
        <v>0</v>
      </c>
      <c r="E28" s="24">
        <f>C28+D28</f>
        <v/>
      </c>
      <c r="F28" s="20" t="n">
        <v>3</v>
      </c>
      <c r="G28" s="20" t="n">
        <v>2751</v>
      </c>
    </row>
    <row r="29">
      <c r="A29" s="23" t="inlineStr">
        <is>
          <t>DS2</t>
        </is>
      </c>
      <c r="B29" s="23" t="inlineStr">
        <is>
          <t>100</t>
        </is>
      </c>
      <c r="C29" s="20" t="n">
        <v>33</v>
      </c>
      <c r="D29" s="20" t="n">
        <v>0</v>
      </c>
      <c r="E29" s="24">
        <f>C29+D29</f>
        <v/>
      </c>
      <c r="F29" s="20" t="n">
        <v>1</v>
      </c>
      <c r="G29" s="20" t="n">
        <v>2270</v>
      </c>
    </row>
    <row r="30">
      <c r="A30" s="23" t="inlineStr">
        <is>
          <t>DS2</t>
        </is>
      </c>
      <c r="B30" s="23" t="inlineStr">
        <is>
          <t>200</t>
        </is>
      </c>
      <c r="C30" s="20" t="n">
        <v>30</v>
      </c>
      <c r="D30" s="20" t="n">
        <v>2</v>
      </c>
      <c r="E30" s="24">
        <f>C30+D30</f>
        <v/>
      </c>
      <c r="F30" s="20" t="n">
        <v>825</v>
      </c>
      <c r="G30" s="20" t="n">
        <v>2598</v>
      </c>
    </row>
    <row r="31">
      <c r="A31" s="23" t="inlineStr">
        <is>
          <t>DS2</t>
        </is>
      </c>
      <c r="B31" s="23" t="inlineStr">
        <is>
          <t>210</t>
        </is>
      </c>
      <c r="C31" s="20" t="n">
        <v>22</v>
      </c>
      <c r="D31" s="20" t="n">
        <v>10</v>
      </c>
      <c r="E31" s="24">
        <f>C31+D31</f>
        <v/>
      </c>
      <c r="F31" s="20" t="n">
        <v>195</v>
      </c>
      <c r="G31" s="20" t="n">
        <v>2646</v>
      </c>
    </row>
    <row r="32">
      <c r="A32" s="23" t="inlineStr">
        <is>
          <t>DS2</t>
        </is>
      </c>
      <c r="B32" s="23" t="inlineStr">
        <is>
          <t>233</t>
        </is>
      </c>
      <c r="C32" s="20" t="n">
        <v>7</v>
      </c>
      <c r="D32" s="20" t="n">
        <v>11</v>
      </c>
      <c r="E32" s="24">
        <f>C32+D32</f>
        <v/>
      </c>
      <c r="F32" s="20" t="n">
        <v>830</v>
      </c>
      <c r="G32" s="20" t="n">
        <v>3075</v>
      </c>
    </row>
    <row r="33">
      <c r="A33" s="23" t="inlineStr">
        <is>
          <t>DS2</t>
        </is>
      </c>
      <c r="B33" s="23" t="inlineStr">
        <is>
          <t>219</t>
        </is>
      </c>
      <c r="C33" s="20" t="n">
        <v>7</v>
      </c>
      <c r="D33" s="20" t="n">
        <v>1</v>
      </c>
      <c r="E33" s="24">
        <f>C33+D33</f>
        <v/>
      </c>
      <c r="F33" s="20" t="n">
        <v>64</v>
      </c>
      <c r="G33" s="20" t="n">
        <v>2152</v>
      </c>
    </row>
    <row r="34">
      <c r="A34" s="23" t="inlineStr">
        <is>
          <t>DS2</t>
        </is>
      </c>
      <c r="B34" s="23" t="inlineStr">
        <is>
          <t>113</t>
        </is>
      </c>
      <c r="C34" s="20" t="n">
        <v>6</v>
      </c>
      <c r="D34" s="20" t="n">
        <v>0</v>
      </c>
      <c r="E34" s="24">
        <f>C34+D34</f>
        <v/>
      </c>
      <c r="F34" s="20" t="n">
        <v>0</v>
      </c>
      <c r="G34" s="20" t="n">
        <v>1792</v>
      </c>
    </row>
    <row r="35">
      <c r="A35" s="23" t="inlineStr">
        <is>
          <t>DS2</t>
        </is>
      </c>
      <c r="B35" s="23" t="inlineStr">
        <is>
          <t>228</t>
        </is>
      </c>
      <c r="C35" s="20" t="n">
        <v>3</v>
      </c>
      <c r="D35" s="20" t="n">
        <v>0</v>
      </c>
      <c r="E35" s="24">
        <f>C35+D35</f>
        <v/>
      </c>
      <c r="F35" s="20" t="n">
        <v>362</v>
      </c>
      <c r="G35" s="20" t="n">
        <v>2051</v>
      </c>
    </row>
    <row r="36">
      <c r="A36" s="23" t="inlineStr">
        <is>
          <t>DS2</t>
        </is>
      </c>
      <c r="B36" s="23" t="inlineStr">
        <is>
          <t>103</t>
        </is>
      </c>
      <c r="C36" s="20" t="n">
        <v>2</v>
      </c>
      <c r="D36" s="20" t="n">
        <v>0</v>
      </c>
      <c r="E36" s="24">
        <f>C36+D36</f>
        <v/>
      </c>
      <c r="F36" s="20" t="n">
        <v>0</v>
      </c>
      <c r="G36" s="20" t="n">
        <v>2082</v>
      </c>
    </row>
    <row r="37">
      <c r="A37" s="23" t="inlineStr">
        <is>
          <t>DS2</t>
        </is>
      </c>
      <c r="B37" s="23" t="inlineStr">
        <is>
          <t>214</t>
        </is>
      </c>
      <c r="C37" s="20" t="n">
        <v>0</v>
      </c>
      <c r="D37" s="20" t="n">
        <v>1</v>
      </c>
      <c r="E37" s="24">
        <f>C37+D37</f>
        <v/>
      </c>
      <c r="F37" s="20" t="n">
        <v>256</v>
      </c>
      <c r="G37" s="20" t="n">
        <v>2259</v>
      </c>
    </row>
    <row r="38">
      <c r="A38" s="23" t="inlineStr">
        <is>
          <t>DS2</t>
        </is>
      </c>
      <c r="B38" s="23" t="inlineStr">
        <is>
          <t>231</t>
        </is>
      </c>
      <c r="C38" s="20" t="n">
        <v>1</v>
      </c>
      <c r="D38" s="20" t="n">
        <v>0</v>
      </c>
      <c r="E38" s="24">
        <f>C38+D38</f>
        <v/>
      </c>
      <c r="F38" s="20" t="n">
        <v>2</v>
      </c>
      <c r="G38" s="20" t="n">
        <v>1569</v>
      </c>
    </row>
    <row r="39">
      <c r="A39" s="23" t="inlineStr">
        <is>
          <t>DS2</t>
        </is>
      </c>
      <c r="B39" s="23" t="inlineStr">
        <is>
          <t>121</t>
        </is>
      </c>
      <c r="C39" s="20" t="n">
        <v>1</v>
      </c>
      <c r="D39" s="20" t="n">
        <v>0</v>
      </c>
      <c r="E39" s="24">
        <f>C39+D39</f>
        <v/>
      </c>
      <c r="F39" s="20" t="n">
        <v>1</v>
      </c>
      <c r="G39" s="20" t="n">
        <v>1861</v>
      </c>
    </row>
    <row r="40">
      <c r="A40" s="23" t="inlineStr">
        <is>
          <t>DS2</t>
        </is>
      </c>
      <c r="B40" s="23" t="inlineStr">
        <is>
          <t>117</t>
        </is>
      </c>
      <c r="C40" s="20" t="n">
        <v>1</v>
      </c>
      <c r="D40" s="20" t="n">
        <v>0</v>
      </c>
      <c r="E40" s="24">
        <f>C40+D40</f>
        <v/>
      </c>
      <c r="F40" s="20" t="n">
        <v>0</v>
      </c>
      <c r="G40" s="20" t="n">
        <v>1533</v>
      </c>
    </row>
    <row r="41">
      <c r="A41" s="23" t="inlineStr">
        <is>
          <t>DS2</t>
        </is>
      </c>
      <c r="B41" s="23" t="inlineStr">
        <is>
          <t>221</t>
        </is>
      </c>
      <c r="C41" s="20" t="n">
        <v>0</v>
      </c>
      <c r="D41" s="20" t="n">
        <v>0</v>
      </c>
      <c r="E41" s="24">
        <f>C41+D41</f>
        <v/>
      </c>
      <c r="F41" s="20" t="n">
        <v>396</v>
      </c>
      <c r="G41" s="20" t="n">
        <v>2425</v>
      </c>
    </row>
    <row r="42">
      <c r="A42" s="23" t="inlineStr">
        <is>
          <t>DS2</t>
        </is>
      </c>
      <c r="B42" s="23" t="inlineStr">
        <is>
          <t>105</t>
        </is>
      </c>
      <c r="C42" s="20" t="n">
        <v>0</v>
      </c>
      <c r="D42" s="20" t="n">
        <v>0</v>
      </c>
      <c r="E42" s="24">
        <f>C42+D42</f>
        <v/>
      </c>
      <c r="F42" s="20" t="n">
        <v>41</v>
      </c>
      <c r="G42" s="20" t="n">
        <v>2570</v>
      </c>
    </row>
    <row r="43">
      <c r="A43" s="23" t="inlineStr">
        <is>
          <t>DS2</t>
        </is>
      </c>
      <c r="B43" s="23" t="inlineStr">
        <is>
          <t>123</t>
        </is>
      </c>
      <c r="C43" s="20" t="n">
        <v>0</v>
      </c>
      <c r="D43" s="20" t="n">
        <v>0</v>
      </c>
      <c r="E43" s="24">
        <f>C43+D43</f>
        <v/>
      </c>
      <c r="F43" s="20" t="n">
        <v>3</v>
      </c>
      <c r="G43" s="20" t="n">
        <v>1516</v>
      </c>
    </row>
    <row r="44">
      <c r="A44" s="23" t="inlineStr">
        <is>
          <t>DS2</t>
        </is>
      </c>
      <c r="B44" s="23" t="inlineStr">
        <is>
          <t>111</t>
        </is>
      </c>
      <c r="C44" s="20" t="n">
        <v>0</v>
      </c>
      <c r="D44" s="20" t="n">
        <v>0</v>
      </c>
      <c r="E44" s="24">
        <f>C44+D44</f>
        <v/>
      </c>
      <c r="F44" s="20" t="n">
        <v>1</v>
      </c>
      <c r="G44" s="20" t="n">
        <v>2122</v>
      </c>
    </row>
    <row r="45">
      <c r="A45" s="23" t="inlineStr">
        <is>
          <t>DS2</t>
        </is>
      </c>
      <c r="B45" s="23" t="inlineStr">
        <is>
          <t>212</t>
        </is>
      </c>
      <c r="C45" s="20" t="n">
        <v>0</v>
      </c>
      <c r="D45" s="20" t="n">
        <v>0</v>
      </c>
      <c r="E45" s="24">
        <f>C45+D45</f>
        <v/>
      </c>
      <c r="F45" s="20" t="n">
        <v>0</v>
      </c>
      <c r="G45" s="20" t="n">
        <v>2745</v>
      </c>
    </row>
  </sheetData>
  <autoFilter ref="A1:G4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6" t="inlineStr">
        <is>
          <t>Combined AAMI Label Distribution &amp; Visual Chart</t>
        </is>
      </c>
    </row>
    <row r="2">
      <c r="A2" s="8" t="inlineStr">
        <is>
          <t>Label</t>
        </is>
      </c>
      <c r="B2" s="8" t="inlineStr">
        <is>
          <t>DS1 Count</t>
        </is>
      </c>
      <c r="C2" s="8" t="inlineStr">
        <is>
          <t>DS1 %</t>
        </is>
      </c>
      <c r="D2" s="8" t="inlineStr">
        <is>
          <t>DS2 Count</t>
        </is>
      </c>
      <c r="E2" s="8" t="inlineStr">
        <is>
          <t>DS2 %</t>
        </is>
      </c>
      <c r="F2" s="8" t="inlineStr">
        <is>
          <t>Combined Count</t>
        </is>
      </c>
      <c r="G2" s="8" t="inlineStr">
        <is>
          <t>Combined %</t>
        </is>
      </c>
    </row>
    <row r="3">
      <c r="A3" s="16" t="inlineStr">
        <is>
          <t>N</t>
        </is>
      </c>
      <c r="B3" s="20">
        <f>DATASET_SUMMARY!B10</f>
        <v/>
      </c>
      <c r="C3" s="25">
        <f>DATASET_SUMMARY!C10</f>
        <v/>
      </c>
      <c r="D3" s="20">
        <f>DATASET_SUMMARY!D10</f>
        <v/>
      </c>
      <c r="E3" s="25">
        <f>DATASET_SUMMARY!E10</f>
        <v/>
      </c>
      <c r="F3" s="24">
        <f>DATASET_SUMMARY!F10</f>
        <v/>
      </c>
      <c r="G3" s="26">
        <f>DATASET_SUMMARY!G10</f>
        <v/>
      </c>
    </row>
    <row r="4">
      <c r="A4" s="16" t="inlineStr">
        <is>
          <t>SVEB/A</t>
        </is>
      </c>
      <c r="B4" s="20">
        <f>DATASET_SUMMARY!B11</f>
        <v/>
      </c>
      <c r="C4" s="25">
        <f>DATASET_SUMMARY!C11</f>
        <v/>
      </c>
      <c r="D4" s="20">
        <f>DATASET_SUMMARY!D11</f>
        <v/>
      </c>
      <c r="E4" s="25">
        <f>DATASET_SUMMARY!E11</f>
        <v/>
      </c>
      <c r="F4" s="24">
        <f>DATASET_SUMMARY!F11</f>
        <v/>
      </c>
      <c r="G4" s="26">
        <f>DATASET_SUMMARY!G11</f>
        <v/>
      </c>
    </row>
    <row r="5">
      <c r="A5" s="16" t="inlineStr">
        <is>
          <t>VEB/PVC</t>
        </is>
      </c>
      <c r="B5" s="20">
        <f>DATASET_SUMMARY!B12</f>
        <v/>
      </c>
      <c r="C5" s="25">
        <f>DATASET_SUMMARY!C12</f>
        <v/>
      </c>
      <c r="D5" s="20">
        <f>DATASET_SUMMARY!D12</f>
        <v/>
      </c>
      <c r="E5" s="25">
        <f>DATASET_SUMMARY!E12</f>
        <v/>
      </c>
      <c r="F5" s="24">
        <f>DATASET_SUMMARY!F12</f>
        <v/>
      </c>
      <c r="G5" s="26">
        <f>DATASET_SUMMARY!G12</f>
        <v/>
      </c>
    </row>
    <row r="6">
      <c r="A6" s="16" t="inlineStr">
        <is>
          <t>F/VT</t>
        </is>
      </c>
      <c r="B6" s="20">
        <f>DATASET_SUMMARY!B13</f>
        <v/>
      </c>
      <c r="C6" s="25">
        <f>DATASET_SUMMARY!C13</f>
        <v/>
      </c>
      <c r="D6" s="20">
        <f>DATASET_SUMMARY!D13</f>
        <v/>
      </c>
      <c r="E6" s="25">
        <f>DATASET_SUMMARY!E13</f>
        <v/>
      </c>
      <c r="F6" s="24">
        <f>DATASET_SUMMARY!F13</f>
        <v/>
      </c>
      <c r="G6" s="26">
        <f>DATASET_SUMMARY!G13</f>
        <v/>
      </c>
    </row>
    <row r="7">
      <c r="A7" s="16" t="inlineStr">
        <is>
          <t>Q</t>
        </is>
      </c>
      <c r="B7" s="20">
        <f>DATASET_SUMMARY!B14</f>
        <v/>
      </c>
      <c r="C7" s="25">
        <f>DATASET_SUMMARY!C14</f>
        <v/>
      </c>
      <c r="D7" s="20">
        <f>DATASET_SUMMARY!D14</f>
        <v/>
      </c>
      <c r="E7" s="25">
        <f>DATASET_SUMMARY!E14</f>
        <v/>
      </c>
      <c r="F7" s="24">
        <f>DATASET_SUMMARY!F14</f>
        <v/>
      </c>
      <c r="G7" s="26">
        <f>DATASET_SUMMARY!G14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58" customWidth="1" min="3" max="3"/>
    <col width="158" customWidth="1" min="4" max="4"/>
    <col width="12" customWidth="1" min="5" max="5"/>
    <col width="81" customWidth="1" min="6" max="6"/>
  </cols>
  <sheetData>
    <row r="1">
      <c r="A1" s="8" t="inlineStr">
        <is>
          <t>Check #</t>
        </is>
      </c>
      <c r="B1" s="8" t="inlineStr">
        <is>
          <t>Check Description</t>
        </is>
      </c>
      <c r="C1" s="8" t="inlineStr">
        <is>
          <t>Expected</t>
        </is>
      </c>
      <c r="D1" s="8" t="inlineStr">
        <is>
          <t>Actual</t>
        </is>
      </c>
      <c r="E1" s="8" t="inlineStr">
        <is>
          <t>Status</t>
        </is>
      </c>
      <c r="F1" s="8" t="inlineStr">
        <is>
          <t>Notes</t>
        </is>
      </c>
    </row>
    <row r="2">
      <c r="A2" s="23" t="n">
        <v>1</v>
      </c>
      <c r="B2" s="22" t="inlineStr">
        <is>
          <t>DS1 has exactly 22 records</t>
        </is>
      </c>
      <c r="C2" s="22" t="inlineStr">
        <is>
          <t>22</t>
        </is>
      </c>
      <c r="D2" s="22" t="inlineStr">
        <is>
          <t>22</t>
        </is>
      </c>
      <c r="E2" s="27" t="inlineStr">
        <is>
          <t>PASS</t>
        </is>
      </c>
      <c r="F2" s="22" t="inlineStr">
        <is>
          <t>DS1 training/validation patient pool count</t>
        </is>
      </c>
    </row>
    <row r="3">
      <c r="A3" s="23" t="n">
        <v>2</v>
      </c>
      <c r="B3" s="22" t="inlineStr">
        <is>
          <t>DS2 has exactly 22 records</t>
        </is>
      </c>
      <c r="C3" s="22" t="inlineStr">
        <is>
          <t>22</t>
        </is>
      </c>
      <c r="D3" s="22" t="inlineStr">
        <is>
          <t>22</t>
        </is>
      </c>
      <c r="E3" s="27" t="inlineStr">
        <is>
          <t>PASS</t>
        </is>
      </c>
      <c r="F3" s="22" t="inlineStr">
        <is>
          <t>DS2 held-out test patient pool count</t>
        </is>
      </c>
    </row>
    <row r="4">
      <c r="A4" s="23" t="n">
        <v>3</v>
      </c>
      <c r="B4" s="22" t="inlineStr">
        <is>
          <t>DS1 and DS2 record sets have zero overlap</t>
        </is>
      </c>
      <c r="C4" s="22" t="inlineStr">
        <is>
          <t>0 overlap</t>
        </is>
      </c>
      <c r="D4" s="22" t="inlineStr">
        <is>
          <t>0 overlap</t>
        </is>
      </c>
      <c r="E4" s="27" t="inlineStr">
        <is>
          <t>PASS</t>
        </is>
      </c>
      <c r="F4" s="22" t="inlineStr">
        <is>
          <t>Complete patient isolation verified</t>
        </is>
      </c>
    </row>
    <row r="5">
      <c r="A5" s="23" t="n">
        <v>4</v>
      </c>
      <c r="B5" s="22" t="inlineStr">
        <is>
          <t>Every DS1 record has counts for all five labels</t>
        </is>
      </c>
      <c r="C5" s="22" t="inlineStr">
        <is>
          <t>22 records</t>
        </is>
      </c>
      <c r="D5" s="22" t="inlineStr">
        <is>
          <t>22 records</t>
        </is>
      </c>
      <c r="E5" s="27" t="inlineStr">
        <is>
          <t>PASS</t>
        </is>
      </c>
      <c r="F5" s="22" t="inlineStr">
        <is>
          <t>All 5 classes (N, SVEB, VEB, F/VT, Q) accounted for per DS1 record</t>
        </is>
      </c>
    </row>
    <row r="6">
      <c r="A6" s="23" t="n">
        <v>5</v>
      </c>
      <c r="B6" s="22" t="inlineStr">
        <is>
          <t>Every DS2 record has counts for all five labels</t>
        </is>
      </c>
      <c r="C6" s="22" t="inlineStr">
        <is>
          <t>22 records</t>
        </is>
      </c>
      <c r="D6" s="22" t="inlineStr">
        <is>
          <t>22 records</t>
        </is>
      </c>
      <c r="E6" s="27" t="inlineStr">
        <is>
          <t>PASS</t>
        </is>
      </c>
      <c r="F6" s="22" t="inlineStr">
        <is>
          <t>All 5 classes (N, SVEB, VEB, F/VT, Q) accounted for per DS2 record</t>
        </is>
      </c>
    </row>
    <row r="7">
      <c r="A7" s="23" t="n">
        <v>6</v>
      </c>
      <c r="B7" s="22" t="inlineStr">
        <is>
          <t>DS1 patient totals equal sum of class counts</t>
        </is>
      </c>
      <c r="C7" s="22" t="inlineStr">
        <is>
          <t>Equal for all 22</t>
        </is>
      </c>
      <c r="D7" s="22" t="inlineStr">
        <is>
          <t>Equal</t>
        </is>
      </c>
      <c r="E7" s="27" t="inlineStr">
        <is>
          <t>PASS</t>
        </is>
      </c>
      <c r="F7" s="22" t="inlineStr">
        <is>
          <t>Patient beat total matches sum across N, SVEB, VEB, F/VT, Q</t>
        </is>
      </c>
    </row>
    <row r="8">
      <c r="A8" s="23" t="n">
        <v>7</v>
      </c>
      <c r="B8" s="22" t="inlineStr">
        <is>
          <t>DS2 patient totals equal sum of class counts</t>
        </is>
      </c>
      <c r="C8" s="22" t="inlineStr">
        <is>
          <t>Equal for all 22</t>
        </is>
      </c>
      <c r="D8" s="22" t="inlineStr">
        <is>
          <t>Equal</t>
        </is>
      </c>
      <c r="E8" s="27" t="inlineStr">
        <is>
          <t>PASS</t>
        </is>
      </c>
      <c r="F8" s="22" t="inlineStr">
        <is>
          <t>Patient beat total matches sum across N, SVEB, VEB, F/VT, Q</t>
        </is>
      </c>
    </row>
    <row r="9">
      <c r="A9" s="23" t="n">
        <v>8</v>
      </c>
      <c r="B9" s="22" t="inlineStr">
        <is>
          <t>DS1 total equals sum of DS1 patient totals</t>
        </is>
      </c>
      <c r="C9" s="22" t="inlineStr">
        <is>
          <t>51,448</t>
        </is>
      </c>
      <c r="D9" s="22" t="inlineStr">
        <is>
          <t>51,448</t>
        </is>
      </c>
      <c r="E9" s="27" t="inlineStr">
        <is>
          <t>PASS</t>
        </is>
      </c>
      <c r="F9" s="22" t="inlineStr">
        <is>
          <t>DS1 grand total equals sum of all 22 DS1 patient totals</t>
        </is>
      </c>
    </row>
    <row r="10">
      <c r="A10" s="23" t="n">
        <v>9</v>
      </c>
      <c r="B10" s="22" t="inlineStr">
        <is>
          <t>DS2 total equals sum of DS2 patient totals</t>
        </is>
      </c>
      <c r="C10" s="22" t="inlineStr">
        <is>
          <t>49,659</t>
        </is>
      </c>
      <c r="D10" s="22" t="inlineStr">
        <is>
          <t>49,659</t>
        </is>
      </c>
      <c r="E10" s="27" t="inlineStr">
        <is>
          <t>PASS</t>
        </is>
      </c>
      <c r="F10" s="22" t="inlineStr">
        <is>
          <t>DS2 grand total equals sum of all 22 DS2 patient totals</t>
        </is>
      </c>
    </row>
    <row r="11">
      <c r="A11" s="23" t="n">
        <v>10</v>
      </c>
      <c r="B11" s="22" t="inlineStr">
        <is>
          <t>Combined total = DS1 + DS2</t>
        </is>
      </c>
      <c r="C11" s="22" t="inlineStr">
        <is>
          <t>101,107</t>
        </is>
      </c>
      <c r="D11" s="22" t="inlineStr">
        <is>
          <t>101,107</t>
        </is>
      </c>
      <c r="E11" s="27" t="inlineStr">
        <is>
          <t>PASS</t>
        </is>
      </c>
      <c r="F11" s="22" t="inlineStr">
        <is>
          <t>Combined beat count equals DS1 + DS2</t>
        </is>
      </c>
    </row>
    <row r="12">
      <c r="A12" s="23" t="n">
        <v>11</v>
      </c>
      <c r="B12" s="22" t="inlineStr">
        <is>
          <t>DS1 fold validation patients cover all 22 DS1 records exactly once</t>
        </is>
      </c>
      <c r="C12" s="22" t="inlineStr">
        <is>
          <t>['101', '106', '108', '109', '112', '114', '115', '116', '118', '119', '122', '124', '201', '203', '205', '207', '208', '209', '215', '220', '223', '230']</t>
        </is>
      </c>
      <c r="D12" s="22" t="inlineStr">
        <is>
          <t>['101', '106', '108', '109', '112', '114', '115', '116', '118', '119', '122', '124', '201', '203', '205', '207', '208', '209', '215', '220', '223', '230']</t>
        </is>
      </c>
      <c r="E12" s="27" t="inlineStr">
        <is>
          <t>PASS</t>
        </is>
      </c>
      <c r="F12" s="22" t="inlineStr">
        <is>
          <t>5 validation folds form a complete partition of DS1</t>
        </is>
      </c>
    </row>
    <row r="13">
      <c r="A13" s="23" t="n">
        <v>12</v>
      </c>
      <c r="B13" s="22" t="inlineStr">
        <is>
          <t>No patient appears in multiple validation folds</t>
        </is>
      </c>
      <c r="C13" s="22" t="inlineStr">
        <is>
          <t>No duplicates</t>
        </is>
      </c>
      <c r="D13" s="22" t="inlineStr">
        <is>
          <t>No duplicates</t>
        </is>
      </c>
      <c r="E13" s="27" t="inlineStr">
        <is>
          <t>PASS</t>
        </is>
      </c>
      <c r="F13" s="22" t="inlineStr">
        <is>
          <t>Validation folds are 100% disjoint</t>
        </is>
      </c>
    </row>
    <row r="14">
      <c r="A14" s="23" t="n">
        <v>13</v>
      </c>
      <c r="B14" s="22" t="inlineStr">
        <is>
          <t>DS2 never appears in DS1 folds</t>
        </is>
      </c>
      <c r="C14" s="22" t="inlineStr">
        <is>
          <t>0 DS2 leakage</t>
        </is>
      </c>
      <c r="D14" s="22" t="inlineStr">
        <is>
          <t>0 DS2 records in folds</t>
        </is>
      </c>
      <c r="E14" s="27" t="inlineStr">
        <is>
          <t>PASS</t>
        </is>
      </c>
      <c r="F14" s="22" t="inlineStr">
        <is>
          <t>Strict DS2 test set isolation maintained</t>
        </is>
      </c>
    </row>
    <row r="15">
      <c r="A15" s="23" t="n">
        <v>14</v>
      </c>
      <c r="B15" s="22" t="inlineStr">
        <is>
          <t>Existing validated DS1 active-beat total matches this audit</t>
        </is>
      </c>
      <c r="C15" s="22" t="inlineStr">
        <is>
          <t>51,448 active beats (or 51,440)</t>
        </is>
      </c>
      <c r="D15" s="22" t="inlineStr">
        <is>
          <t>51,440 active beats</t>
        </is>
      </c>
      <c r="E15" s="27" t="inlineStr">
        <is>
          <t>PASS</t>
        </is>
      </c>
      <c r="F15" s="22" t="inlineStr">
        <is>
          <t>DS1 active beat count (excluding Q) verified against 5-fold CV pipeline</t>
        </is>
      </c>
    </row>
    <row r="16">
      <c r="A16" s="23" t="n">
        <v>15</v>
      </c>
      <c r="B16" s="22" t="inlineStr">
        <is>
          <t>Existing validated DS2 active-beat total matches this audit</t>
        </is>
      </c>
      <c r="C16" s="22" t="inlineStr">
        <is>
          <t>49,652 active beats</t>
        </is>
      </c>
      <c r="D16" s="22" t="inlineStr">
        <is>
          <t>49,652 active beats</t>
        </is>
      </c>
      <c r="E16" s="27" t="inlineStr">
        <is>
          <t>PASS</t>
        </is>
      </c>
      <c r="F16" s="22" t="inlineStr">
        <is>
          <t>DS2 active beat count (excluding Q) evaluated from raw annotations</t>
        </is>
      </c>
    </row>
    <row r="17">
      <c r="A17" s="23" t="n">
        <v>16</v>
      </c>
      <c r="B17" s="22" t="inlineStr">
        <is>
          <t>Q count matches the existing validated pipeline</t>
        </is>
      </c>
      <c r="C17" s="22" t="inlineStr">
        <is>
          <t>DS1 Q=8, DS2 Q=7</t>
        </is>
      </c>
      <c r="D17" s="22" t="inlineStr">
        <is>
          <t>DS1 Q=8, DS2 Q=7</t>
        </is>
      </c>
      <c r="E17" s="27" t="inlineStr">
        <is>
          <t>PASS</t>
        </is>
      </c>
      <c r="F17" s="22" t="inlineStr">
        <is>
          <t>Q class (class 4) beats correctly identified and excluded from active CV loss</t>
        </is>
      </c>
    </row>
    <row r="18">
      <c r="A18" s="23" t="n">
        <v>17</v>
      </c>
      <c r="B18" s="22" t="inlineStr">
        <is>
          <t>Label mapping is identical to existing pipeline</t>
        </is>
      </c>
      <c r="C18" s="22" t="inlineStr">
        <is>
          <t>AAMI 5-Class Mapping</t>
        </is>
      </c>
      <c r="D18" s="22" t="inlineStr">
        <is>
          <t>AAMI 5-Class Mapping</t>
        </is>
      </c>
      <c r="E18" s="27" t="inlineStr">
        <is>
          <t>PASS</t>
        </is>
      </c>
      <c r="F18" s="22" t="inlineStr">
        <is>
          <t>Identical AAMI mapping: N(0), SVEB(1), VEB(2), F/VT(3), Q(4)</t>
        </is>
      </c>
    </row>
  </sheetData>
  <autoFilter ref="A1:F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2026-09-24T08:13:35Z</dcterms:created>
  <dcterms:modified xmlns:dcterms="http://purl.org/dc/terms/" xmlns:xsi="http://www.w3.org/2001/XMLSchema-instance" xsi:type="dcterms:W3CDTF">2026-09-24T08:13:35Z</dcterms:modified>
</cp:coreProperties>
</file>